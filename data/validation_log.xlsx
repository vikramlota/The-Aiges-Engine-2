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Validation Lo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44546A"/>
      <sz val="11"/>
    </font>
    <font>
      <name val="Calibri"/>
      <b val="1"/>
      <color rgb="001F3A5F"/>
      <sz val="13"/>
    </font>
    <font>
      <name val="Calibri"/>
      <color rgb="00222222"/>
      <sz val="11"/>
    </font>
    <font>
      <name val="Calibri"/>
      <color rgb="0044546A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44546A"/>
      <sz val="10"/>
    </font>
    <font>
      <name val="Calibri"/>
      <b val="1"/>
      <sz val="10"/>
    </font>
    <font>
      <name val="Calibri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  <fill>
      <patternFill patternType="solid">
        <fgColor rgb="0044546A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Validation Log — Week 1-2 (Engine vs. Your Judgment)</t>
        </is>
      </c>
    </row>
    <row r="2">
      <c r="A2" s="2" t="inlineStr">
        <is>
          <t>Every row is one real post the pipeline already processed. Your job is to independently decide what YOU think the verdict should be, before looking at what the engine said.</t>
        </is>
      </c>
    </row>
    <row r="4" ht="22" customHeight="1">
      <c r="A4" s="3" t="inlineStr">
        <is>
          <t>How to use this workbook</t>
        </is>
      </c>
    </row>
    <row r="5" ht="40" customHeight="1">
      <c r="A5" s="4" t="inlineStr">
        <is>
          <t>1. Open the “Validation Log” tab. Columns B–E are already filled in from the real pipeline run.</t>
        </is>
      </c>
    </row>
    <row r="6" ht="40" customHeight="1">
      <c r="A6" s="4" t="inlineStr">
        <is>
          <t>2. For each row: open the Post URL, read the actual post, and form your own opinion BEFORE touching columns I onward.</t>
        </is>
      </c>
    </row>
    <row r="7" ht="40" customHeight="1">
      <c r="A7" s="4" t="inlineStr">
        <is>
          <t>3. Fill in “Your Verdict” (F) and, optionally, “Your Risk Guess” (G) and “Your Reasoning” (H) -- based only on your own judgment.</t>
        </is>
      </c>
    </row>
    <row r="8" ht="40" customHeight="1">
      <c r="A8" s="4" t="inlineStr">
        <is>
          <t>4. Only once you've filled in F-H for a row, unhide columns I–L (right-click the column headers → Unhide) to see what the engine actually said.</t>
        </is>
      </c>
    </row>
    <row r="9" ht="40" customHeight="1">
      <c r="A9" s="4" t="inlineStr">
        <is>
          <t>5. “Match?” (M) and “Risk Match?” (N) fill in automatically. If they disagree, pick why in “Disagreement Type” (O) and note what should change in “Follow-up Notes” (P).</t>
        </is>
      </c>
    </row>
    <row r="10" ht="40" customHeight="1">
      <c r="A10" s="4" t="inlineStr">
        <is>
          <t>6. Once you've done this for 10-15 posts, check the “Summary” tab for your overall match rate and what kind of mistakes are most common.</t>
        </is>
      </c>
    </row>
    <row r="11" ht="22" customHeight="1">
      <c r="A11" s="3" t="inlineStr">
        <is>
          <t>Why the engine columns start hidden</t>
        </is>
      </c>
    </row>
    <row r="12" ht="40" customHeight="1">
      <c r="A12" s="5" t="inlineStr">
        <is>
          <t>If you see the engine's answer before forming your own, you'll unconsciously anchor to it -- and the whole point of this exercise is finding out whether the engine's judgment actually matches yours when you're not looking at it first. It's slightly more friction, on purpose.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14" customWidth="1" min="5" max="5"/>
    <col width="15" customWidth="1" min="6" max="6"/>
    <col width="12" customWidth="1" min="7" max="7"/>
    <col width="30" customWidth="1" min="8" max="8"/>
    <col hidden="1" width="15" customWidth="1" min="9" max="9"/>
    <col hidden="1" width="12" customWidth="1" min="10" max="10"/>
    <col hidden="1" width="24" customWidth="1" min="11" max="11"/>
    <col hidden="1" width="14" customWidth="1" min="12" max="12"/>
    <col width="11" customWidth="1" min="13" max="13"/>
    <col width="11" customWidth="1" min="14" max="14"/>
    <col width="26" customWidth="1" min="15" max="15"/>
    <col width="30" customWidth="1" min="16" max="16"/>
  </cols>
  <sheetData>
    <row r="1" ht="34" customHeight="1">
      <c r="A1" s="6" t="inlineStr">
        <is>
          <t>#</t>
        </is>
      </c>
      <c r="B1" s="6" t="inlineStr">
        <is>
          <t>Post ID</t>
        </is>
      </c>
      <c r="C1" s="6" t="inlineStr">
        <is>
          <t>Influencer
Handle</t>
        </is>
      </c>
      <c r="D1" s="6" t="inlineStr">
        <is>
          <t>Post URL</t>
        </is>
      </c>
      <c r="E1" s="6" t="inlineStr">
        <is>
          <t>Timestamp</t>
        </is>
      </c>
      <c r="F1" s="7" t="inlineStr">
        <is>
          <t>Your
Verdict</t>
        </is>
      </c>
      <c r="G1" s="7" t="inlineStr">
        <is>
          <t>Your Risk
Guess</t>
        </is>
      </c>
      <c r="H1" s="7" t="inlineStr">
        <is>
          <t>Your
Reasoning</t>
        </is>
      </c>
      <c r="I1" s="8" t="inlineStr">
        <is>
          <t>Engine
Verdict</t>
        </is>
      </c>
      <c r="J1" s="8" t="inlineStr">
        <is>
          <t>Engine
Risk Level</t>
        </is>
      </c>
      <c r="K1" s="8" t="inlineStr">
        <is>
          <t>Engine
Flags</t>
        </is>
      </c>
      <c r="L1" s="8" t="inlineStr">
        <is>
          <t>Engine Visual
Status</t>
        </is>
      </c>
      <c r="M1" s="9" t="inlineStr">
        <is>
          <t>Match?</t>
        </is>
      </c>
      <c r="N1" s="9" t="inlineStr">
        <is>
          <t>Risk
Match?</t>
        </is>
      </c>
      <c r="O1" s="9" t="inlineStr">
        <is>
          <t>Disagreement Type</t>
        </is>
      </c>
      <c r="P1" s="9" t="inlineStr">
        <is>
          <t>Follow-up Notes</t>
        </is>
      </c>
    </row>
    <row r="2" ht="30" customHeight="1">
      <c r="A2" s="10" t="n">
        <v>1</v>
      </c>
      <c r="B2" s="10" t="inlineStr">
        <is>
          <t>18102155182915371</t>
        </is>
      </c>
      <c r="C2" s="10" t="inlineStr">
        <is>
          <t>gyanm.samarth.academy</t>
        </is>
      </c>
      <c r="D2" s="10" t="inlineStr">
        <is>
          <t>https://www.instagram.com/p/DcIgeUdCRm4/</t>
        </is>
      </c>
      <c r="E2" s="10" t="inlineStr">
        <is>
          <t>2026-08-17T07:31:02+0000</t>
        </is>
      </c>
      <c r="F2" s="10" t="n"/>
      <c r="G2" s="10" t="n"/>
      <c r="H2" s="10" t="n"/>
      <c r="I2" s="10" t="inlineStr">
        <is>
          <t>FLAGGED</t>
        </is>
      </c>
      <c r="J2" s="10" t="inlineStr">
        <is>
          <t>CRITICAL</t>
        </is>
      </c>
      <c r="K2" s="10" t="inlineStr">
        <is>
          <t>approved_label, placement, educational_institutions, awards_rankings_claims, health_wellness_claims, food_beverage_claims, automotive_claims, children_targeted</t>
        </is>
      </c>
      <c r="L2" s="10" t="inlineStr">
        <is>
          <t>TEXT_NO_DISCLOSURE</t>
        </is>
      </c>
      <c r="M2" s="10">
        <f>IF(F2="","",IF(F2=I2,"MATCH","MISMATCH"))</f>
        <v/>
      </c>
      <c r="N2" s="10">
        <f>IF(OR(F2="",G2=""),"",IF(G2=J2,"MATCH","MISMATCH"))</f>
        <v/>
      </c>
      <c r="O2" s="10" t="n"/>
      <c r="P2" s="10" t="n"/>
    </row>
    <row r="3" ht="30" customHeight="1">
      <c r="A3" s="10" t="n">
        <v>2</v>
      </c>
      <c r="B3" s="10" t="inlineStr">
        <is>
          <t>18099818797968789</t>
        </is>
      </c>
      <c r="C3" s="10" t="inlineStr">
        <is>
          <t>gyanm.samarth.academy</t>
        </is>
      </c>
      <c r="D3" s="10" t="inlineStr">
        <is>
          <t>https://www.instagram.com/p/DcF7n5-iRQY/</t>
        </is>
      </c>
      <c r="E3" s="10" t="inlineStr">
        <is>
          <t>2026-08-16T07:30:00+0000</t>
        </is>
      </c>
      <c r="F3" s="10" t="n"/>
      <c r="G3" s="10" t="n"/>
      <c r="H3" s="10" t="n"/>
      <c r="I3" s="10" t="inlineStr">
        <is>
          <t>FLAGGED</t>
        </is>
      </c>
      <c r="J3" s="10" t="inlineStr">
        <is>
          <t>CRITICAL</t>
        </is>
      </c>
      <c r="K3" s="10" t="inlineStr">
        <is>
          <t>approved_label, placement, educational_institutions, awards_rankings_claims, health_wellness_claims, food_beverage_claims, children_targeted, automotive_claims</t>
        </is>
      </c>
      <c r="L3" s="10" t="inlineStr">
        <is>
          <t>TEXT_NO_DISCLOSURE</t>
        </is>
      </c>
      <c r="M3" s="10">
        <f>IF(F3="","",IF(F3=I3,"MATCH","MISMATCH"))</f>
        <v/>
      </c>
      <c r="N3" s="10">
        <f>IF(OR(F3="",G3=""),"",IF(G3=J3,"MATCH","MISMATCH"))</f>
        <v/>
      </c>
      <c r="O3" s="10" t="n"/>
      <c r="P3" s="10" t="n"/>
    </row>
    <row r="4" ht="30" customHeight="1">
      <c r="A4" s="10" t="n">
        <v>3</v>
      </c>
      <c r="B4" s="10" t="inlineStr">
        <is>
          <t>18440605123127115</t>
        </is>
      </c>
      <c r="C4" s="10" t="inlineStr">
        <is>
          <t>gyanm.samarth.academy</t>
        </is>
      </c>
      <c r="D4" s="10" t="inlineStr">
        <is>
          <t>https://www.instagram.com/reel/DcDckaChrI7/</t>
        </is>
      </c>
      <c r="E4" s="10" t="inlineStr">
        <is>
          <t>2026-08-15T08:21:31+0000</t>
        </is>
      </c>
      <c r="F4" s="10" t="n"/>
      <c r="G4" s="10" t="n"/>
      <c r="H4" s="10" t="n"/>
      <c r="I4" s="10" t="inlineStr">
        <is>
          <t>FLAGGED</t>
        </is>
      </c>
      <c r="J4" s="10" t="inlineStr">
        <is>
          <t>CRITICAL</t>
        </is>
      </c>
      <c r="K4" s="10" t="inlineStr">
        <is>
          <t>approved_label, placement, educational_institutions, awards_rankings_claims, children_targeted</t>
        </is>
      </c>
      <c r="L4" s="10" t="inlineStr">
        <is>
          <t>NO_MEDIA</t>
        </is>
      </c>
      <c r="M4" s="10">
        <f>IF(F4="","",IF(F4=I4,"MATCH","MISMATCH"))</f>
        <v/>
      </c>
      <c r="N4" s="10">
        <f>IF(OR(F4="",G4=""),"",IF(G4=J4,"MATCH","MISMATCH"))</f>
        <v/>
      </c>
      <c r="O4" s="10" t="n"/>
      <c r="P4" s="10" t="n"/>
    </row>
    <row r="5" ht="30" customHeight="1">
      <c r="A5" s="10" t="n">
        <v>4</v>
      </c>
      <c r="B5" s="10" t="inlineStr">
        <is>
          <t>17887695087656156</t>
        </is>
      </c>
      <c r="C5" s="10" t="inlineStr">
        <is>
          <t>gyanm.samarth.academy</t>
        </is>
      </c>
      <c r="D5" s="10" t="inlineStr">
        <is>
          <t>https://www.instagram.com/p/DcAx25MCW4S/</t>
        </is>
      </c>
      <c r="E5" s="10" t="inlineStr">
        <is>
          <t>2026-08-14T07:29:01+0000</t>
        </is>
      </c>
      <c r="F5" s="10" t="n"/>
      <c r="G5" s="10" t="n"/>
      <c r="H5" s="10" t="n"/>
      <c r="I5" s="10" t="inlineStr">
        <is>
          <t>FLAGGED</t>
        </is>
      </c>
      <c r="J5" s="10" t="inlineStr">
        <is>
          <t>CRITICAL</t>
        </is>
      </c>
      <c r="K5" s="10" t="inlineStr">
        <is>
          <t>approved_label, placement, educational_institutions, awards_rankings_claims, health_wellness_claims, children_targeted, food_beverage_claims, automotive_claims</t>
        </is>
      </c>
      <c r="L5" s="10" t="inlineStr">
        <is>
          <t>TEXT_NO_DISCLOSURE</t>
        </is>
      </c>
      <c r="M5" s="10">
        <f>IF(F5="","",IF(F5=I5,"MATCH","MISMATCH"))</f>
        <v/>
      </c>
      <c r="N5" s="10">
        <f>IF(OR(F5="",G5=""),"",IF(G5=J5,"MATCH","MISMATCH"))</f>
        <v/>
      </c>
      <c r="O5" s="10" t="n"/>
      <c r="P5" s="10" t="n"/>
    </row>
    <row r="6" ht="30" customHeight="1">
      <c r="A6" s="10" t="n">
        <v>5</v>
      </c>
      <c r="B6" s="10" t="inlineStr">
        <is>
          <t>18111054007978665</t>
        </is>
      </c>
      <c r="C6" s="10" t="inlineStr">
        <is>
          <t>gyanm.samarth.academy</t>
        </is>
      </c>
      <c r="D6" s="10" t="inlineStr">
        <is>
          <t>https://www.instagram.com/reel/Db-hzn5CWQ0/</t>
        </is>
      </c>
      <c r="E6" s="10" t="inlineStr">
        <is>
          <t>2026-08-13T10:30:02+0000</t>
        </is>
      </c>
      <c r="F6" s="10" t="n"/>
      <c r="G6" s="10" t="n"/>
      <c r="H6" s="10" t="n"/>
      <c r="I6" s="10" t="inlineStr">
        <is>
          <t>FLAGGED</t>
        </is>
      </c>
      <c r="J6" s="10" t="inlineStr">
        <is>
          <t>HIGH</t>
        </is>
      </c>
      <c r="K6" s="10" t="inlineStr">
        <is>
          <t>approved_label, placement, educational_institutions</t>
        </is>
      </c>
      <c r="L6" s="10" t="inlineStr">
        <is>
          <t>NO_MEDIA</t>
        </is>
      </c>
      <c r="M6" s="10">
        <f>IF(F6="","",IF(F6=I6,"MATCH","MISMATCH"))</f>
        <v/>
      </c>
      <c r="N6" s="10">
        <f>IF(OR(F6="",G6=""),"",IF(G6=J6,"MATCH","MISMATCH"))</f>
        <v/>
      </c>
      <c r="O6" s="10" t="n"/>
      <c r="P6" s="10" t="n"/>
    </row>
    <row r="7" ht="30" customHeight="1">
      <c r="A7" s="10" t="n">
        <v>6</v>
      </c>
      <c r="B7" s="10" t="inlineStr">
        <is>
          <t>18151243828503115</t>
        </is>
      </c>
      <c r="C7" s="10" t="inlineStr">
        <is>
          <t>gyanm.samarth.academy</t>
        </is>
      </c>
      <c r="D7" s="10" t="inlineStr">
        <is>
          <t>https://www.instagram.com/p/Db-F-63iRdn/</t>
        </is>
      </c>
      <c r="E7" s="10" t="inlineStr">
        <is>
          <t>2026-08-13T06:27:02+0000</t>
        </is>
      </c>
      <c r="F7" s="10" t="n"/>
      <c r="G7" s="10" t="n"/>
      <c r="H7" s="10" t="n"/>
      <c r="I7" s="10" t="inlineStr">
        <is>
          <t>FLAGGED</t>
        </is>
      </c>
      <c r="J7" s="10" t="inlineStr">
        <is>
          <t>CRITICAL</t>
        </is>
      </c>
      <c r="K7" s="10" t="inlineStr">
        <is>
          <t>approved_label, placement, educational_institutions, health_wellness_claims, food_beverage_claims, awards_rankings_claims, children_targeted</t>
        </is>
      </c>
      <c r="L7" s="10" t="inlineStr">
        <is>
          <t>TEXT_NO_DISCLOSURE</t>
        </is>
      </c>
      <c r="M7" s="10">
        <f>IF(F7="","",IF(F7=I7,"MATCH","MISMATCH"))</f>
        <v/>
      </c>
      <c r="N7" s="10">
        <f>IF(OR(F7="",G7=""),"",IF(G7=J7,"MATCH","MISMATCH"))</f>
        <v/>
      </c>
      <c r="O7" s="10" t="n"/>
      <c r="P7" s="10" t="n"/>
    </row>
    <row r="8" ht="30" customHeight="1">
      <c r="A8" s="10" t="n">
        <v>7</v>
      </c>
      <c r="B8" s="10" t="inlineStr">
        <is>
          <t>18089657726141209</t>
        </is>
      </c>
      <c r="C8" s="10" t="inlineStr">
        <is>
          <t>gyanm.samarth.academy</t>
        </is>
      </c>
      <c r="D8" s="10" t="inlineStr">
        <is>
          <t>https://www.instagram.com/reel/Db7881HEQQA/</t>
        </is>
      </c>
      <c r="E8" s="10" t="inlineStr">
        <is>
          <t>2026-08-12T10:30:02+0000</t>
        </is>
      </c>
      <c r="F8" s="10" t="n"/>
      <c r="G8" s="10" t="n"/>
      <c r="H8" s="10" t="n"/>
      <c r="I8" s="10" t="inlineStr">
        <is>
          <t>FLAGGED</t>
        </is>
      </c>
      <c r="J8" s="10" t="inlineStr">
        <is>
          <t>HIGH</t>
        </is>
      </c>
      <c r="K8" s="10" t="inlineStr">
        <is>
          <t>approved_label, placement, educational_institutions, awards_rankings_claims</t>
        </is>
      </c>
      <c r="L8" s="10" t="inlineStr">
        <is>
          <t>NO_MEDIA</t>
        </is>
      </c>
      <c r="M8" s="10">
        <f>IF(F8="","",IF(F8=I8,"MATCH","MISMATCH"))</f>
        <v/>
      </c>
      <c r="N8" s="10">
        <f>IF(OR(F8="",G8=""),"",IF(G8=J8,"MATCH","MISMATCH"))</f>
        <v/>
      </c>
      <c r="O8" s="10" t="n"/>
      <c r="P8" s="10" t="n"/>
    </row>
    <row r="9" ht="30" customHeight="1">
      <c r="A9" s="10" t="n">
        <v>8</v>
      </c>
      <c r="B9" s="10" t="inlineStr">
        <is>
          <t>18172480240428241</t>
        </is>
      </c>
      <c r="C9" s="10" t="inlineStr">
        <is>
          <t>gyanm.samarth.academy</t>
        </is>
      </c>
      <c r="D9" s="10" t="inlineStr">
        <is>
          <t>https://www.instagram.com/p/Db7gNGQia1T/</t>
        </is>
      </c>
      <c r="E9" s="10" t="inlineStr">
        <is>
          <t>2026-08-12T06:18:03+0000</t>
        </is>
      </c>
      <c r="F9" s="10" t="n"/>
      <c r="G9" s="10" t="n"/>
      <c r="H9" s="10" t="n"/>
      <c r="I9" s="10" t="inlineStr">
        <is>
          <t>FLAGGED</t>
        </is>
      </c>
      <c r="J9" s="10" t="inlineStr">
        <is>
          <t>CRITICAL</t>
        </is>
      </c>
      <c r="K9" s="10" t="inlineStr">
        <is>
          <t>approved_label, placement, educational_institutions, health_wellness_claims, awards_rankings_claims, food_beverage_claims, children_targeted, automotive_claims</t>
        </is>
      </c>
      <c r="L9" s="10" t="inlineStr">
        <is>
          <t>TEXT_NO_DISCLOSURE</t>
        </is>
      </c>
      <c r="M9" s="10">
        <f>IF(F9="","",IF(F9=I9,"MATCH","MISMATCH"))</f>
        <v/>
      </c>
      <c r="N9" s="10">
        <f>IF(OR(F9="",G9=""),"",IF(G9=J9,"MATCH","MISMATCH"))</f>
        <v/>
      </c>
      <c r="O9" s="10" t="n"/>
      <c r="P9" s="10" t="n"/>
    </row>
    <row r="10" ht="30" customHeight="1">
      <c r="A10" s="10" t="n">
        <v>9</v>
      </c>
      <c r="B10" s="10" t="inlineStr">
        <is>
          <t>17948138331251718</t>
        </is>
      </c>
      <c r="C10" s="10" t="inlineStr">
        <is>
          <t>gyanm.samarth.academy</t>
        </is>
      </c>
      <c r="D10" s="10" t="inlineStr">
        <is>
          <t>https://www.instagram.com/reel/Db5fHtVkU5c/</t>
        </is>
      </c>
      <c r="E10" s="10" t="inlineStr">
        <is>
          <t>2026-08-11T11:30:01+0000</t>
        </is>
      </c>
      <c r="F10" s="10" t="n"/>
      <c r="G10" s="10" t="n"/>
      <c r="H10" s="10" t="n"/>
      <c r="I10" s="10" t="inlineStr">
        <is>
          <t>FLAGGED</t>
        </is>
      </c>
      <c r="J10" s="10" t="inlineStr">
        <is>
          <t>HIGH</t>
        </is>
      </c>
      <c r="K10" s="10" t="inlineStr">
        <is>
          <t>approved_label, placement, educational_institutions, awards_rankings_claims</t>
        </is>
      </c>
      <c r="L10" s="10" t="inlineStr">
        <is>
          <t>NO_MEDIA</t>
        </is>
      </c>
      <c r="M10" s="10">
        <f>IF(F10="","",IF(F10=I10,"MATCH","MISMATCH"))</f>
        <v/>
      </c>
      <c r="N10" s="10">
        <f>IF(OR(F10="",G10=""),"",IF(G10=J10,"MATCH","MISMATCH"))</f>
        <v/>
      </c>
      <c r="O10" s="10" t="n"/>
      <c r="P10" s="10" t="n"/>
    </row>
    <row r="11" ht="30" customHeight="1">
      <c r="A11" s="10" t="n">
        <v>10</v>
      </c>
      <c r="B11" s="10" t="inlineStr">
        <is>
          <t>18105103865335190</t>
        </is>
      </c>
      <c r="C11" s="10" t="inlineStr">
        <is>
          <t>gyanm.samarth.academy</t>
        </is>
      </c>
      <c r="D11" s="10" t="inlineStr">
        <is>
          <t>https://www.instagram.com/p/Db47F_siYdv/</t>
        </is>
      </c>
      <c r="E11" s="10" t="inlineStr">
        <is>
          <t>2026-08-11T06:16:01+0000</t>
        </is>
      </c>
      <c r="F11" s="10" t="n"/>
      <c r="G11" s="10" t="n"/>
      <c r="H11" s="10" t="n"/>
      <c r="I11" s="10" t="inlineStr">
        <is>
          <t>FLAGGED</t>
        </is>
      </c>
      <c r="J11" s="10" t="inlineStr">
        <is>
          <t>CRITICAL</t>
        </is>
      </c>
      <c r="K11" s="10" t="inlineStr">
        <is>
          <t>approved_label, placement, educational_institutions, awards_rankings_claims, health_wellness_claims, food_beverage_claims, children_targeted, automotive_claims</t>
        </is>
      </c>
      <c r="L11" s="10" t="inlineStr">
        <is>
          <t>TEXT_NO_DISCLOSURE</t>
        </is>
      </c>
      <c r="M11" s="10">
        <f>IF(F11="","",IF(F11=I11,"MATCH","MISMATCH"))</f>
        <v/>
      </c>
      <c r="N11" s="10">
        <f>IF(OR(F11="",G11=""),"",IF(G11=J11,"MATCH","MISMATCH"))</f>
        <v/>
      </c>
      <c r="O11" s="10" t="n"/>
      <c r="P11" s="10" t="n"/>
    </row>
    <row r="12" ht="30" customHeight="1">
      <c r="A12" s="10" t="n">
        <v>11</v>
      </c>
      <c r="B12" s="10" t="inlineStr">
        <is>
          <t>18096639362042115</t>
        </is>
      </c>
      <c r="C12" s="10" t="inlineStr">
        <is>
          <t>gyanm.samarth.academy</t>
        </is>
      </c>
      <c r="D12" s="10" t="inlineStr">
        <is>
          <t>https://www.instagram.com/reel/Db4vAu5iRet/</t>
        </is>
      </c>
      <c r="E12" s="10" t="inlineStr">
        <is>
          <t>2026-08-11T04:30:01+0000</t>
        </is>
      </c>
      <c r="F12" s="10" t="n"/>
      <c r="G12" s="10" t="n"/>
      <c r="H12" s="10" t="n"/>
      <c r="I12" s="10" t="inlineStr">
        <is>
          <t>FLAGGED</t>
        </is>
      </c>
      <c r="J12" s="10" t="inlineStr">
        <is>
          <t>CRITICAL</t>
        </is>
      </c>
      <c r="K12" s="10" t="inlineStr">
        <is>
          <t>approved_label, placement, educational_institutions, awards_rankings_claims, health_wellness_claims, automotive_claims, food_beverage_claims</t>
        </is>
      </c>
      <c r="L12" s="10" t="inlineStr">
        <is>
          <t>NO_MEDIA</t>
        </is>
      </c>
      <c r="M12" s="10">
        <f>IF(F12="","",IF(F12=I12,"MATCH","MISMATCH"))</f>
        <v/>
      </c>
      <c r="N12" s="10">
        <f>IF(OR(F12="",G12=""),"",IF(G12=J12,"MATCH","MISMATCH"))</f>
        <v/>
      </c>
      <c r="O12" s="10" t="n"/>
      <c r="P12" s="10" t="n"/>
    </row>
    <row r="13" ht="30" customHeight="1">
      <c r="A13" s="10" t="n">
        <v>12</v>
      </c>
      <c r="B13" s="10" t="inlineStr">
        <is>
          <t>17902661118492902</t>
        </is>
      </c>
      <c r="C13" s="10" t="inlineStr">
        <is>
          <t>gyanm.samarth.academy</t>
        </is>
      </c>
      <c r="D13" s="10" t="inlineStr">
        <is>
          <t>https://www.instagram.com/reel/Db2zYUyEXEI/</t>
        </is>
      </c>
      <c r="E13" s="10" t="inlineStr">
        <is>
          <t>2026-08-10T10:30:02+0000</t>
        </is>
      </c>
      <c r="F13" s="10" t="n"/>
      <c r="G13" s="10" t="n"/>
      <c r="H13" s="10" t="n"/>
      <c r="I13" s="10" t="inlineStr">
        <is>
          <t>FLAGGED</t>
        </is>
      </c>
      <c r="J13" s="10" t="inlineStr">
        <is>
          <t>HIGH</t>
        </is>
      </c>
      <c r="K13" s="10" t="inlineStr">
        <is>
          <t>approved_label, placement, educational_institutions</t>
        </is>
      </c>
      <c r="L13" s="10" t="inlineStr">
        <is>
          <t>NO_MEDIA</t>
        </is>
      </c>
      <c r="M13" s="10">
        <f>IF(F13="","",IF(F13=I13,"MATCH","MISMATCH"))</f>
        <v/>
      </c>
      <c r="N13" s="10">
        <f>IF(OR(F13="",G13=""),"",IF(G13=J13,"MATCH","MISMATCH"))</f>
        <v/>
      </c>
      <c r="O13" s="10" t="n"/>
      <c r="P13" s="10" t="n"/>
    </row>
    <row r="14" ht="30" customHeight="1">
      <c r="A14" s="10" t="n">
        <v>13</v>
      </c>
      <c r="B14" s="10" t="inlineStr">
        <is>
          <t>18089140034537814</t>
        </is>
      </c>
      <c r="C14" s="10" t="inlineStr">
        <is>
          <t>gyanm.samarth.academy</t>
        </is>
      </c>
      <c r="D14" s="10" t="inlineStr">
        <is>
          <t>https://www.instagram.com/p/Db2WOPKCaWC/</t>
        </is>
      </c>
      <c r="E14" s="10" t="inlineStr">
        <is>
          <t>2026-08-10T06:15:03+0000</t>
        </is>
      </c>
      <c r="F14" s="10" t="n"/>
      <c r="G14" s="10" t="n"/>
      <c r="H14" s="10" t="n"/>
      <c r="I14" s="10" t="inlineStr">
        <is>
          <t>FLAGGED</t>
        </is>
      </c>
      <c r="J14" s="10" t="inlineStr">
        <is>
          <t>CRITICAL</t>
        </is>
      </c>
      <c r="K14" s="10" t="inlineStr">
        <is>
          <t>approved_label, placement, educational_institutions, awards_rankings_claims, health_wellness_claims, food_beverage_claims, automotive_claims, children_targeted</t>
        </is>
      </c>
      <c r="L14" s="10" t="inlineStr">
        <is>
          <t>TEXT_NO_DISCLOSURE</t>
        </is>
      </c>
      <c r="M14" s="10">
        <f>IF(F14="","",IF(F14=I14,"MATCH","MISMATCH"))</f>
        <v/>
      </c>
      <c r="N14" s="10">
        <f>IF(OR(F14="",G14=""),"",IF(G14=J14,"MATCH","MISMATCH"))</f>
        <v/>
      </c>
      <c r="O14" s="10" t="n"/>
      <c r="P14" s="10" t="n"/>
    </row>
    <row r="15" ht="30" customHeight="1">
      <c r="A15" s="10" t="n">
        <v>14</v>
      </c>
      <c r="B15" s="10" t="inlineStr">
        <is>
          <t>18550553794073370</t>
        </is>
      </c>
      <c r="C15" s="10" t="inlineStr">
        <is>
          <t>gyanm.samarth.academy</t>
        </is>
      </c>
      <c r="D15" s="10" t="inlineStr">
        <is>
          <t>https://www.instagram.com/p/Dbz2hlyCeGK/</t>
        </is>
      </c>
      <c r="E15" s="10" t="inlineStr">
        <is>
          <t>2026-08-09T07:00:02+0000</t>
        </is>
      </c>
      <c r="F15" s="10" t="n"/>
      <c r="G15" s="10" t="n"/>
      <c r="H15" s="10" t="n"/>
      <c r="I15" s="10" t="inlineStr">
        <is>
          <t>FLAGGED</t>
        </is>
      </c>
      <c r="J15" s="10" t="inlineStr">
        <is>
          <t>CRITICAL</t>
        </is>
      </c>
      <c r="K15" s="10" t="inlineStr">
        <is>
          <t>approved_label, placement, educational_institutions, health_wellness_claims, awards_rankings_claims, food_beverage_claims, children_targeted, automotive_claims</t>
        </is>
      </c>
      <c r="L15" s="10" t="inlineStr">
        <is>
          <t>TEXT_NO_DISCLOSURE</t>
        </is>
      </c>
      <c r="M15" s="10">
        <f>IF(F15="","",IF(F15=I15,"MATCH","MISMATCH"))</f>
        <v/>
      </c>
      <c r="N15" s="10">
        <f>IF(OR(F15="",G15=""),"",IF(G15=J15,"MATCH","MISMATCH"))</f>
        <v/>
      </c>
      <c r="O15" s="10" t="n"/>
      <c r="P15" s="10" t="n"/>
    </row>
    <row r="16" ht="30" customHeight="1">
      <c r="A16" s="10" t="n">
        <v>15</v>
      </c>
      <c r="B16" s="10" t="inlineStr">
        <is>
          <t>18099062006264358</t>
        </is>
      </c>
      <c r="C16" s="10" t="inlineStr">
        <is>
          <t>gyanm.samarth.academy</t>
        </is>
      </c>
      <c r="D16" s="10" t="inlineStr">
        <is>
          <t>https://www.instagram.com/p/DbxS7rEiYmT/</t>
        </is>
      </c>
      <c r="E16" s="10" t="inlineStr">
        <is>
          <t>2026-08-08T07:00:03+0000</t>
        </is>
      </c>
      <c r="F16" s="10" t="n"/>
      <c r="G16" s="10" t="n"/>
      <c r="H16" s="10" t="n"/>
      <c r="I16" s="10" t="inlineStr">
        <is>
          <t>FLAGGED</t>
        </is>
      </c>
      <c r="J16" s="10" t="inlineStr">
        <is>
          <t>CRITICAL</t>
        </is>
      </c>
      <c r="K16" s="10" t="inlineStr">
        <is>
          <t>approved_label, placement, educational_institutions, health_wellness_claims, awards_rankings_claims, food_beverage_claims, automotive_claims, children_targeted</t>
        </is>
      </c>
      <c r="L16" s="10" t="inlineStr">
        <is>
          <t>TEXT_NO_DISCLOSURE</t>
        </is>
      </c>
      <c r="M16" s="10">
        <f>IF(F16="","",IF(F16=I16,"MATCH","MISMATCH"))</f>
        <v/>
      </c>
      <c r="N16" s="10">
        <f>IF(OR(F16="",G16=""),"",IF(G16=J16,"MATCH","MISMATCH"))</f>
        <v/>
      </c>
      <c r="O16" s="10" t="n"/>
      <c r="P16" s="10" t="n"/>
    </row>
    <row r="17" ht="30" customHeight="1">
      <c r="A17" s="10" t="n">
        <v>16</v>
      </c>
      <c r="B17" s="10" t="inlineStr">
        <is>
          <t>17945548023249866</t>
        </is>
      </c>
      <c r="C17" s="10" t="inlineStr">
        <is>
          <t>gyanm.samarth.academy</t>
        </is>
      </c>
      <c r="D17" s="10" t="inlineStr">
        <is>
          <t>https://www.instagram.com/p/Dbutw4ACQw0/</t>
        </is>
      </c>
      <c r="E17" s="10" t="inlineStr">
        <is>
          <t>2026-08-07T07:00:01+0000</t>
        </is>
      </c>
      <c r="F17" s="10" t="n"/>
      <c r="G17" s="10" t="n"/>
      <c r="H17" s="10" t="n"/>
      <c r="I17" s="10" t="inlineStr">
        <is>
          <t>FLAGGED</t>
        </is>
      </c>
      <c r="J17" s="10" t="inlineStr">
        <is>
          <t>CRITICAL</t>
        </is>
      </c>
      <c r="K17" s="10" t="inlineStr">
        <is>
          <t>approved_label, placement, educational_institutions, awards_rankings_claims, health_wellness_claims, food_beverage_claims, automotive_claims, children_targeted</t>
        </is>
      </c>
      <c r="L17" s="10" t="inlineStr">
        <is>
          <t>TEXT_NO_DISCLOSURE</t>
        </is>
      </c>
      <c r="M17" s="10">
        <f>IF(F17="","",IF(F17=I17,"MATCH","MISMATCH"))</f>
        <v/>
      </c>
      <c r="N17" s="10">
        <f>IF(OR(F17="",G17=""),"",IF(G17=J17,"MATCH","MISMATCH"))</f>
        <v/>
      </c>
      <c r="O17" s="10" t="n"/>
      <c r="P17" s="10" t="n"/>
    </row>
    <row r="18" ht="30" customHeight="1">
      <c r="A18" s="10" t="n">
        <v>17</v>
      </c>
      <c r="B18" s="10" t="inlineStr">
        <is>
          <t>17895674214569230</t>
        </is>
      </c>
      <c r="C18" s="10" t="inlineStr">
        <is>
          <t>gyanm.samarth.academy</t>
        </is>
      </c>
      <c r="D18" s="10" t="inlineStr">
        <is>
          <t>https://www.instagram.com/reel/Dbr2--RCXZe/</t>
        </is>
      </c>
      <c r="E18" s="10" t="inlineStr">
        <is>
          <t>2026-08-06T10:30:01+0000</t>
        </is>
      </c>
      <c r="F18" s="10" t="n"/>
      <c r="G18" s="10" t="n"/>
      <c r="H18" s="10" t="n"/>
      <c r="I18" s="10" t="inlineStr">
        <is>
          <t>FLAGGED</t>
        </is>
      </c>
      <c r="J18" s="10" t="inlineStr">
        <is>
          <t>CRITICAL</t>
        </is>
      </c>
      <c r="K18" s="10" t="inlineStr">
        <is>
          <t>approved_label, placement, educational_institutions, awards_rankings_claims, health_wellness_claims</t>
        </is>
      </c>
      <c r="L18" s="10" t="inlineStr">
        <is>
          <t>NO_MEDIA</t>
        </is>
      </c>
      <c r="M18" s="10">
        <f>IF(F18="","",IF(F18=I18,"MATCH","MISMATCH"))</f>
        <v/>
      </c>
      <c r="N18" s="10">
        <f>IF(OR(F18="",G18=""),"",IF(G18=J18,"MATCH","MISMATCH"))</f>
        <v/>
      </c>
      <c r="O18" s="10" t="n"/>
      <c r="P18" s="10" t="n"/>
    </row>
    <row r="19" ht="30" customHeight="1">
      <c r="A19" s="10" t="n">
        <v>18</v>
      </c>
      <c r="B19" s="10" t="inlineStr">
        <is>
          <t>18014908211939898</t>
        </is>
      </c>
      <c r="C19" s="10" t="inlineStr">
        <is>
          <t>gyanm.samarth.academy</t>
        </is>
      </c>
      <c r="D19" s="10" t="inlineStr">
        <is>
          <t>https://www.instagram.com/p/Dbq2gZNiS-n/</t>
        </is>
      </c>
      <c r="E19" s="10" t="inlineStr">
        <is>
          <t>2026-08-06T07:00:01+0000</t>
        </is>
      </c>
      <c r="F19" s="10" t="n"/>
      <c r="G19" s="10" t="n"/>
      <c r="H19" s="10" t="n"/>
      <c r="I19" s="10" t="inlineStr">
        <is>
          <t>FLAGGED</t>
        </is>
      </c>
      <c r="J19" s="10" t="inlineStr">
        <is>
          <t>CRITICAL</t>
        </is>
      </c>
      <c r="K19" s="10" t="inlineStr">
        <is>
          <t>approved_label, placement, educational_institutions, health_wellness_claims, food_beverage_claims, automotive_claims, children_targeted, awards_rankings_claims</t>
        </is>
      </c>
      <c r="L19" s="10" t="inlineStr">
        <is>
          <t>TEXT_NO_DISCLOSURE</t>
        </is>
      </c>
      <c r="M19" s="10">
        <f>IF(F19="","",IF(F19=I19,"MATCH","MISMATCH"))</f>
        <v/>
      </c>
      <c r="N19" s="10">
        <f>IF(OR(F19="",G19=""),"",IF(G19=J19,"MATCH","MISMATCH"))</f>
        <v/>
      </c>
      <c r="O19" s="10" t="n"/>
      <c r="P19" s="10" t="n"/>
    </row>
    <row r="20" ht="30" customHeight="1">
      <c r="A20" s="10" t="n">
        <v>19</v>
      </c>
      <c r="B20" s="10" t="inlineStr">
        <is>
          <t>17987803280846561</t>
        </is>
      </c>
      <c r="C20" s="10" t="inlineStr">
        <is>
          <t>gyanm.samarth.academy</t>
        </is>
      </c>
      <c r="D20" s="10" t="inlineStr">
        <is>
          <t>https://www.instagram.com/reel/DbpSRM1Cfhy/</t>
        </is>
      </c>
      <c r="E20" s="10" t="inlineStr">
        <is>
          <t>2026-08-05T10:30:01+0000</t>
        </is>
      </c>
      <c r="F20" s="10" t="n"/>
      <c r="G20" s="10" t="n"/>
      <c r="H20" s="10" t="n"/>
      <c r="I20" s="10" t="inlineStr">
        <is>
          <t>FLAGGED</t>
        </is>
      </c>
      <c r="J20" s="10" t="inlineStr">
        <is>
          <t>HIGH</t>
        </is>
      </c>
      <c r="K20" s="10" t="inlineStr">
        <is>
          <t>approved_label, placement, educational_institutions</t>
        </is>
      </c>
      <c r="L20" s="10" t="inlineStr">
        <is>
          <t>NO_MEDIA</t>
        </is>
      </c>
      <c r="M20" s="10">
        <f>IF(F20="","",IF(F20=I20,"MATCH","MISMATCH"))</f>
        <v/>
      </c>
      <c r="N20" s="10">
        <f>IF(OR(F20="",G20=""),"",IF(G20=J20,"MATCH","MISMATCH"))</f>
        <v/>
      </c>
      <c r="O20" s="10" t="n"/>
      <c r="P20" s="10" t="n"/>
    </row>
    <row r="21" ht="30" customHeight="1">
      <c r="A21" s="10" t="n">
        <v>20</v>
      </c>
      <c r="B21" s="10" t="inlineStr">
        <is>
          <t>17910575424444361</t>
        </is>
      </c>
      <c r="C21" s="10" t="inlineStr">
        <is>
          <t>gyanm.samarth.academy</t>
        </is>
      </c>
      <c r="D21" s="10" t="inlineStr">
        <is>
          <t>https://www.instagram.com/p/Dbpj195iamU/</t>
        </is>
      </c>
      <c r="E21" s="10" t="inlineStr">
        <is>
          <t>2026-08-05T07:00:01+0000</t>
        </is>
      </c>
      <c r="F21" s="10" t="n"/>
      <c r="G21" s="10" t="n"/>
      <c r="H21" s="10" t="n"/>
      <c r="I21" s="10" t="inlineStr">
        <is>
          <t>FLAGGED</t>
        </is>
      </c>
      <c r="J21" s="10" t="inlineStr">
        <is>
          <t>CRITICAL</t>
        </is>
      </c>
      <c r="K21" s="10" t="inlineStr">
        <is>
          <t>approved_label, placement, educational_institutions, health_wellness_claims, awards_rankings_claims, food_beverage_claims, automotive_claims, children_targeted</t>
        </is>
      </c>
      <c r="L21" s="10" t="inlineStr">
        <is>
          <t>TEXT_NO_DISCLOSURE</t>
        </is>
      </c>
      <c r="M21" s="10">
        <f>IF(F21="","",IF(F21=I21,"MATCH","MISMATCH"))</f>
        <v/>
      </c>
      <c r="N21" s="10">
        <f>IF(OR(F21="",G21=""),"",IF(G21=J21,"MATCH","MISMATCH"))</f>
        <v/>
      </c>
      <c r="O21" s="10" t="n"/>
      <c r="P21" s="10" t="n"/>
    </row>
    <row r="22" ht="30" customHeight="1">
      <c r="A22" s="10" t="n">
        <v>21</v>
      </c>
      <c r="B22" s="10" t="inlineStr">
        <is>
          <t>17977695954108320</t>
        </is>
      </c>
      <c r="C22" s="10" t="inlineStr">
        <is>
          <t>gyanm.samarth.academy</t>
        </is>
      </c>
      <c r="D22" s="10" t="inlineStr">
        <is>
          <t>https://www.instagram.com/reel/Dbnw6zEvMpV/</t>
        </is>
      </c>
      <c r="E22" s="10" t="inlineStr">
        <is>
          <t>2026-08-04T14:20:44+0000</t>
        </is>
      </c>
      <c r="F22" s="10" t="n"/>
      <c r="G22" s="10" t="n"/>
      <c r="H22" s="10" t="n"/>
      <c r="I22" s="10" t="inlineStr">
        <is>
          <t>FLAGGED</t>
        </is>
      </c>
      <c r="J22" s="10" t="inlineStr">
        <is>
          <t>CRITICAL</t>
        </is>
      </c>
      <c r="K22" s="10" t="inlineStr">
        <is>
          <t>approved_label, placement, educational_institutions, awards_rankings_claims, health_wellness_claims</t>
        </is>
      </c>
      <c r="L22" s="10" t="inlineStr">
        <is>
          <t>NO_MEDIA</t>
        </is>
      </c>
      <c r="M22" s="10">
        <f>IF(F22="","",IF(F22=I22,"MATCH","MISMATCH"))</f>
        <v/>
      </c>
      <c r="N22" s="10">
        <f>IF(OR(F22="",G22=""),"",IF(G22=J22,"MATCH","MISMATCH"))</f>
        <v/>
      </c>
      <c r="O22" s="10" t="n"/>
      <c r="P22" s="10" t="n"/>
    </row>
    <row r="23" ht="30" customHeight="1">
      <c r="A23" s="10" t="n">
        <v>22</v>
      </c>
      <c r="B23" s="10" t="inlineStr">
        <is>
          <t>18182899366363243</t>
        </is>
      </c>
      <c r="C23" s="10" t="inlineStr">
        <is>
          <t>gyanm.samarth.academy</t>
        </is>
      </c>
      <c r="D23" s="10" t="inlineStr">
        <is>
          <t>https://www.instagram.com/p/Dbm3-rfibFJ/</t>
        </is>
      </c>
      <c r="E23" s="10" t="inlineStr">
        <is>
          <t>2026-08-04T06:02:01+0000</t>
        </is>
      </c>
      <c r="F23" s="10" t="n"/>
      <c r="G23" s="10" t="n"/>
      <c r="H23" s="10" t="n"/>
      <c r="I23" s="10" t="inlineStr">
        <is>
          <t>FLAGGED</t>
        </is>
      </c>
      <c r="J23" s="10" t="inlineStr">
        <is>
          <t>CRITICAL</t>
        </is>
      </c>
      <c r="K23" s="10" t="inlineStr">
        <is>
          <t>approved_label, placement, educational_institutions, health_wellness_claims, awards_rankings_claims, food_beverage_claims, automotive_claims</t>
        </is>
      </c>
      <c r="L23" s="10" t="inlineStr">
        <is>
          <t>TEXT_NO_DISCLOSURE</t>
        </is>
      </c>
      <c r="M23" s="10">
        <f>IF(F23="","",IF(F23=I23,"MATCH","MISMATCH"))</f>
        <v/>
      </c>
      <c r="N23" s="10">
        <f>IF(OR(F23="",G23=""),"",IF(G23=J23,"MATCH","MISMATCH"))</f>
        <v/>
      </c>
      <c r="O23" s="10" t="n"/>
      <c r="P23" s="10" t="n"/>
    </row>
    <row r="24" ht="30" customHeight="1">
      <c r="A24" s="10" t="n">
        <v>23</v>
      </c>
      <c r="B24" s="10" t="inlineStr">
        <is>
          <t>18263665036305447</t>
        </is>
      </c>
      <c r="C24" s="10" t="inlineStr">
        <is>
          <t>gyanm.samarth.academy</t>
        </is>
      </c>
      <c r="D24" s="10" t="inlineStr">
        <is>
          <t>https://www.instagram.com/p/DbkMIJ1iZ8A/</t>
        </is>
      </c>
      <c r="E24" s="10" t="inlineStr">
        <is>
          <t>2026-08-03T05:00:02+0000</t>
        </is>
      </c>
      <c r="F24" s="10" t="n"/>
      <c r="G24" s="10" t="n"/>
      <c r="H24" s="10" t="n"/>
      <c r="I24" s="10" t="inlineStr">
        <is>
          <t>FLAGGED</t>
        </is>
      </c>
      <c r="J24" s="10" t="inlineStr">
        <is>
          <t>CRITICAL</t>
        </is>
      </c>
      <c r="K24" s="10" t="inlineStr">
        <is>
          <t>approved_label, placement, educational_institutions, health_wellness_claims, food_beverage_claims, awards_rankings_claims, children_targeted</t>
        </is>
      </c>
      <c r="L24" s="10" t="inlineStr">
        <is>
          <t>TEXT_NO_DISCLOSURE</t>
        </is>
      </c>
      <c r="M24" s="10">
        <f>IF(F24="","",IF(F24=I24,"MATCH","MISMATCH"))</f>
        <v/>
      </c>
      <c r="N24" s="10">
        <f>IF(OR(F24="",G24=""),"",IF(G24=J24,"MATCH","MISMATCH"))</f>
        <v/>
      </c>
      <c r="O24" s="10" t="n"/>
      <c r="P24" s="10" t="n"/>
    </row>
    <row r="25" ht="30" customHeight="1">
      <c r="A25" s="10" t="n">
        <v>24</v>
      </c>
      <c r="B25" s="10" t="inlineStr">
        <is>
          <t>17869407963585858</t>
        </is>
      </c>
      <c r="C25" s="10" t="inlineStr">
        <is>
          <t>gyanm.samarth.academy</t>
        </is>
      </c>
      <c r="D25" s="10" t="inlineStr">
        <is>
          <t>https://www.instagram.com/p/DbiCZxmCWOb/</t>
        </is>
      </c>
      <c r="E25" s="10" t="inlineStr">
        <is>
          <t>2026-08-02T08:57:02+0000</t>
        </is>
      </c>
      <c r="F25" s="10" t="n"/>
      <c r="G25" s="10" t="n"/>
      <c r="H25" s="10" t="n"/>
      <c r="I25" s="10" t="inlineStr">
        <is>
          <t>FLAGGED</t>
        </is>
      </c>
      <c r="J25" s="10" t="inlineStr">
        <is>
          <t>CRITICAL</t>
        </is>
      </c>
      <c r="K25" s="10" t="inlineStr">
        <is>
          <t>approved_label, placement, educational_institutions, awards_rankings_claims, health_wellness_claims, food_beverage_claims, automotive_claims</t>
        </is>
      </c>
      <c r="L25" s="10" t="inlineStr">
        <is>
          <t>TEXT_NO_DISCLOSURE</t>
        </is>
      </c>
      <c r="M25" s="10">
        <f>IF(F25="","",IF(F25=I25,"MATCH","MISMATCH"))</f>
        <v/>
      </c>
      <c r="N25" s="10">
        <f>IF(OR(F25="",G25=""),"",IF(G25=J25,"MATCH","MISMATCH"))</f>
        <v/>
      </c>
      <c r="O25" s="10" t="n"/>
      <c r="P25" s="10" t="n"/>
    </row>
    <row r="26" ht="30" customHeight="1">
      <c r="A26" s="10" t="n">
        <v>25</v>
      </c>
      <c r="B26" s="10" t="inlineStr">
        <is>
          <t>18088944950537539</t>
        </is>
      </c>
      <c r="C26" s="10" t="inlineStr">
        <is>
          <t>gyanm.samarth.academy</t>
        </is>
      </c>
      <c r="D26" s="10" t="inlineStr">
        <is>
          <t>https://www.instagram.com/p/DbfPafRCSmt/</t>
        </is>
      </c>
      <c r="E26" s="10" t="inlineStr">
        <is>
          <t>2026-08-01T06:53:02+0000</t>
        </is>
      </c>
      <c r="F26" s="10" t="n"/>
      <c r="G26" s="10" t="n"/>
      <c r="H26" s="10" t="n"/>
      <c r="I26" s="10" t="inlineStr">
        <is>
          <t>FLAGGED</t>
        </is>
      </c>
      <c r="J26" s="10" t="inlineStr">
        <is>
          <t>CRITICAL</t>
        </is>
      </c>
      <c r="K26" s="10" t="inlineStr">
        <is>
          <t>approved_label, placement, educational_institutions, awards_rankings_claims, health_wellness_claims, food_beverage_claims, automotive_claims, children_targeted</t>
        </is>
      </c>
      <c r="L26" s="10" t="inlineStr">
        <is>
          <t>TEXT_NO_DISCLOSURE</t>
        </is>
      </c>
      <c r="M26" s="10">
        <f>IF(F26="","",IF(F26=I26,"MATCH","MISMATCH"))</f>
        <v/>
      </c>
      <c r="N26" s="10">
        <f>IF(OR(F26="",G26=""),"",IF(G26=J26,"MATCH","MISMATCH"))</f>
        <v/>
      </c>
      <c r="O26" s="10" t="n"/>
      <c r="P26" s="10" t="n"/>
    </row>
    <row r="27" ht="30" customHeight="1">
      <c r="A27" s="10" t="n">
        <v>26</v>
      </c>
      <c r="B27" s="10" t="inlineStr">
        <is>
          <t>18175802071426187</t>
        </is>
      </c>
      <c r="C27" s="10" t="inlineStr">
        <is>
          <t>gyanm.samarth.academy</t>
        </is>
      </c>
      <c r="D27" s="10" t="inlineStr">
        <is>
          <t>https://www.instagram.com/p/Dbc1mBmEc0S/</t>
        </is>
      </c>
      <c r="E27" s="10" t="inlineStr">
        <is>
          <t>2026-07-31T08:29:23+0000</t>
        </is>
      </c>
      <c r="F27" s="10" t="n"/>
      <c r="G27" s="10" t="n"/>
      <c r="H27" s="10" t="n"/>
      <c r="I27" s="10" t="inlineStr">
        <is>
          <t>FLAGGED</t>
        </is>
      </c>
      <c r="J27" s="10" t="inlineStr">
        <is>
          <t>CRITICAL</t>
        </is>
      </c>
      <c r="K27" s="10" t="inlineStr">
        <is>
          <t>approved_label, placement, educational_institutions, awards_rankings_claims, health_wellness_claims, children_targeted, food_beverage_claims</t>
        </is>
      </c>
      <c r="L27" s="10" t="inlineStr">
        <is>
          <t>TEXT_NO_DISCLOSURE</t>
        </is>
      </c>
      <c r="M27" s="10">
        <f>IF(F27="","",IF(F27=I27,"MATCH","MISMATCH"))</f>
        <v/>
      </c>
      <c r="N27" s="10">
        <f>IF(OR(F27="",G27=""),"",IF(G27=J27,"MATCH","MISMATCH"))</f>
        <v/>
      </c>
      <c r="O27" s="10" t="n"/>
      <c r="P27" s="10" t="n"/>
    </row>
    <row r="28" ht="30" customHeight="1">
      <c r="A28" s="10" t="n">
        <v>27</v>
      </c>
      <c r="B28" s="10" t="inlineStr">
        <is>
          <t>18118105594682331</t>
        </is>
      </c>
      <c r="C28" s="10" t="inlineStr">
        <is>
          <t>gyanm.samarth.academy</t>
        </is>
      </c>
      <c r="D28" s="10" t="inlineStr">
        <is>
          <t>https://www.instagram.com/reel/DbafzGMyP_m/</t>
        </is>
      </c>
      <c r="E28" s="10" t="inlineStr">
        <is>
          <t>2026-07-30T10:41:02+0000</t>
        </is>
      </c>
      <c r="F28" s="10" t="n"/>
      <c r="G28" s="10" t="n"/>
      <c r="H28" s="10" t="n"/>
      <c r="I28" s="10" t="inlineStr">
        <is>
          <t>FLAGGED</t>
        </is>
      </c>
      <c r="J28" s="10" t="inlineStr">
        <is>
          <t>CRITICAL</t>
        </is>
      </c>
      <c r="K28" s="10" t="inlineStr">
        <is>
          <t>approved_label, placement, educational_institutions, awards_rankings_claims, children_targeted, health_wellness_claims</t>
        </is>
      </c>
      <c r="L28" s="10" t="inlineStr">
        <is>
          <t>NO_MEDIA</t>
        </is>
      </c>
      <c r="M28" s="10">
        <f>IF(F28="","",IF(F28=I28,"MATCH","MISMATCH"))</f>
        <v/>
      </c>
      <c r="N28" s="10">
        <f>IF(OR(F28="",G28=""),"",IF(G28=J28,"MATCH","MISMATCH"))</f>
        <v/>
      </c>
      <c r="O28" s="10" t="n"/>
      <c r="P28" s="10" t="n"/>
    </row>
    <row r="29" ht="30" customHeight="1">
      <c r="A29" s="10" t="n">
        <v>28</v>
      </c>
      <c r="B29" s="10" t="inlineStr">
        <is>
          <t>18117080234302966</t>
        </is>
      </c>
      <c r="C29" s="10" t="inlineStr">
        <is>
          <t>gyanm.samarth.academy</t>
        </is>
      </c>
      <c r="D29" s="10" t="inlineStr">
        <is>
          <t>https://www.instagram.com/p/DbUw8MGEWhP/</t>
        </is>
      </c>
      <c r="E29" s="10" t="inlineStr">
        <is>
          <t>2026-07-28T05:14:48+0000</t>
        </is>
      </c>
      <c r="F29" s="10" t="n"/>
      <c r="G29" s="10" t="n"/>
      <c r="H29" s="10" t="n"/>
      <c r="I29" s="10" t="inlineStr">
        <is>
          <t>FLAGGED</t>
        </is>
      </c>
      <c r="J29" s="10" t="inlineStr">
        <is>
          <t>CRITICAL</t>
        </is>
      </c>
      <c r="K29" s="10" t="inlineStr">
        <is>
          <t>approved_label, placement, educational_institutions, awards_rankings_claims, health_wellness_claims, food_beverage_claims, automotive_claims, children_targeted</t>
        </is>
      </c>
      <c r="L29" s="10" t="inlineStr">
        <is>
          <t>TEXT_NO_DISCLOSURE</t>
        </is>
      </c>
      <c r="M29" s="10">
        <f>IF(F29="","",IF(F29=I29,"MATCH","MISMATCH"))</f>
        <v/>
      </c>
      <c r="N29" s="10">
        <f>IF(OR(F29="",G29=""),"",IF(G29=J29,"MATCH","MISMATCH"))</f>
        <v/>
      </c>
      <c r="O29" s="10" t="n"/>
      <c r="P29" s="10" t="n"/>
    </row>
    <row r="30" ht="30" customHeight="1">
      <c r="A30" s="10" t="n">
        <v>29</v>
      </c>
      <c r="B30" s="10" t="inlineStr">
        <is>
          <t>18106262030115036</t>
        </is>
      </c>
      <c r="C30" s="10" t="inlineStr">
        <is>
          <t>gyanm.samarth.academy</t>
        </is>
      </c>
      <c r="D30" s="10" t="inlineStr">
        <is>
          <t>https://www.instagram.com/reel/DbSaViBhM1x/</t>
        </is>
      </c>
      <c r="E30" s="10" t="inlineStr">
        <is>
          <t>2026-07-27T07:19:19+0000</t>
        </is>
      </c>
      <c r="F30" s="10" t="n"/>
      <c r="G30" s="10" t="n"/>
      <c r="H30" s="10" t="n"/>
      <c r="I30" s="10" t="inlineStr">
        <is>
          <t>FLAGGED</t>
        </is>
      </c>
      <c r="J30" s="10" t="inlineStr">
        <is>
          <t>CRITICAL</t>
        </is>
      </c>
      <c r="K30" s="10" t="inlineStr">
        <is>
          <t>approved_label, placement, educational_institutions, health_wellness_claims, children_targeted</t>
        </is>
      </c>
      <c r="L30" s="10" t="inlineStr">
        <is>
          <t>NO_MEDIA</t>
        </is>
      </c>
      <c r="M30" s="10">
        <f>IF(F30="","",IF(F30=I30,"MATCH","MISMATCH"))</f>
        <v/>
      </c>
      <c r="N30" s="10">
        <f>IF(OR(F30="",G30=""),"",IF(G30=J30,"MATCH","MISMATCH"))</f>
        <v/>
      </c>
      <c r="O30" s="10" t="n"/>
      <c r="P30" s="10" t="n"/>
    </row>
    <row r="31" ht="30" customHeight="1">
      <c r="A31" s="10" t="n">
        <v>30</v>
      </c>
      <c r="B31" s="10" t="inlineStr">
        <is>
          <t>17873916411626190</t>
        </is>
      </c>
      <c r="C31" s="10" t="inlineStr">
        <is>
          <t>gyanm.samarth.academy</t>
        </is>
      </c>
      <c r="D31" s="10" t="inlineStr">
        <is>
          <t>https://www.instagram.com/p/DbKrt1sEdGA/</t>
        </is>
      </c>
      <c r="E31" s="10" t="inlineStr">
        <is>
          <t>2026-07-24T07:16:44+0000</t>
        </is>
      </c>
      <c r="F31" s="10" t="n"/>
      <c r="G31" s="10" t="n"/>
      <c r="H31" s="10" t="n"/>
      <c r="I31" s="10" t="inlineStr">
        <is>
          <t>FLAGGED</t>
        </is>
      </c>
      <c r="J31" s="10" t="inlineStr">
        <is>
          <t>HIGH</t>
        </is>
      </c>
      <c r="K31" s="10" t="inlineStr">
        <is>
          <t>approved_label, placement</t>
        </is>
      </c>
      <c r="L31" s="10" t="inlineStr">
        <is>
          <t>TEXT_NO_DISCLOSURE</t>
        </is>
      </c>
      <c r="M31" s="10">
        <f>IF(F31="","",IF(F31=I31,"MATCH","MISMATCH"))</f>
        <v/>
      </c>
      <c r="N31" s="10">
        <f>IF(OR(F31="",G31=""),"",IF(G31=J31,"MATCH","MISMATCH"))</f>
        <v/>
      </c>
      <c r="O31" s="10" t="n"/>
      <c r="P31" s="10" t="n"/>
    </row>
    <row r="32" ht="30" customHeight="1">
      <c r="A32" s="10" t="n">
        <v>31</v>
      </c>
      <c r="B32" s="10" t="inlineStr">
        <is>
          <t>18159576964466025</t>
        </is>
      </c>
      <c r="C32" s="10" t="inlineStr">
        <is>
          <t>gyanm.samarth.academy</t>
        </is>
      </c>
      <c r="D32" s="10" t="inlineStr">
        <is>
          <t>https://www.instagram.com/p/DbH863FCb6K/</t>
        </is>
      </c>
      <c r="E32" s="10" t="inlineStr">
        <is>
          <t>2026-07-23T05:49:21+0000</t>
        </is>
      </c>
      <c r="F32" s="10" t="n"/>
      <c r="G32" s="10" t="n"/>
      <c r="H32" s="10" t="n"/>
      <c r="I32" s="10" t="inlineStr">
        <is>
          <t>FLAGGED</t>
        </is>
      </c>
      <c r="J32" s="10" t="inlineStr">
        <is>
          <t>CRITICAL</t>
        </is>
      </c>
      <c r="K32" s="10" t="inlineStr">
        <is>
          <t>approved_label, placement, educational_institutions, awards_rankings_claims, health_wellness_claims, food_beverage_claims, automotive_claims, children_targeted</t>
        </is>
      </c>
      <c r="L32" s="10" t="inlineStr">
        <is>
          <t>TEXT_NO_DISCLOSURE</t>
        </is>
      </c>
      <c r="M32" s="10">
        <f>IF(F32="","",IF(F32=I32,"MATCH","MISMATCH"))</f>
        <v/>
      </c>
      <c r="N32" s="10">
        <f>IF(OR(F32="",G32=""),"",IF(G32=J32,"MATCH","MISMATCH"))</f>
        <v/>
      </c>
      <c r="O32" s="10" t="n"/>
      <c r="P32" s="10" t="n"/>
    </row>
    <row r="33" ht="30" customHeight="1">
      <c r="A33" s="10" t="n">
        <v>32</v>
      </c>
      <c r="B33" s="10" t="inlineStr">
        <is>
          <t>18121886131699967</t>
        </is>
      </c>
      <c r="C33" s="10" t="inlineStr">
        <is>
          <t>gyanm.samarth.academy</t>
        </is>
      </c>
      <c r="D33" s="10" t="inlineStr">
        <is>
          <t>https://www.instagram.com/reel/DbHz47lie8e/</t>
        </is>
      </c>
      <c r="E33" s="10" t="inlineStr">
        <is>
          <t>2026-07-23T04:30:02+0000</t>
        </is>
      </c>
      <c r="F33" s="10" t="n"/>
      <c r="G33" s="10" t="n"/>
      <c r="H33" s="10" t="n"/>
      <c r="I33" s="10" t="inlineStr">
        <is>
          <t>FLAGGED</t>
        </is>
      </c>
      <c r="J33" s="10" t="inlineStr">
        <is>
          <t>HIGH</t>
        </is>
      </c>
      <c r="K33" s="10" t="inlineStr">
        <is>
          <t>approved_label, placement, educational_institutions</t>
        </is>
      </c>
      <c r="L33" s="10" t="inlineStr">
        <is>
          <t>NO_MEDIA</t>
        </is>
      </c>
      <c r="M33" s="10">
        <f>IF(F33="","",IF(F33=I33,"MATCH","MISMATCH"))</f>
        <v/>
      </c>
      <c r="N33" s="10">
        <f>IF(OR(F33="",G33=""),"",IF(G33=J33,"MATCH","MISMATCH"))</f>
        <v/>
      </c>
      <c r="O33" s="10" t="n"/>
      <c r="P33" s="10" t="n"/>
    </row>
    <row r="34" ht="30" customHeight="1">
      <c r="A34" s="10" t="n">
        <v>33</v>
      </c>
      <c r="B34" s="10" t="inlineStr">
        <is>
          <t>18072939047409319</t>
        </is>
      </c>
      <c r="C34" s="10" t="inlineStr">
        <is>
          <t>gyanm.samarth.academy</t>
        </is>
      </c>
      <c r="D34" s="10" t="inlineStr">
        <is>
          <t>https://www.instagram.com/reel/DbFPFq4iVer/</t>
        </is>
      </c>
      <c r="E34" s="10" t="inlineStr">
        <is>
          <t>2026-07-22T04:30:02+0000</t>
        </is>
      </c>
      <c r="F34" s="10" t="n"/>
      <c r="G34" s="10" t="n"/>
      <c r="H34" s="10" t="n"/>
      <c r="I34" s="10" t="inlineStr">
        <is>
          <t>FLAGGED</t>
        </is>
      </c>
      <c r="J34" s="10" t="inlineStr">
        <is>
          <t>HIGH</t>
        </is>
      </c>
      <c r="K34" s="10" t="inlineStr">
        <is>
          <t>approved_label, placement, educational_institutions</t>
        </is>
      </c>
      <c r="L34" s="10" t="inlineStr">
        <is>
          <t>NO_MEDIA</t>
        </is>
      </c>
      <c r="M34" s="10">
        <f>IF(F34="","",IF(F34=I34,"MATCH","MISMATCH"))</f>
        <v/>
      </c>
      <c r="N34" s="10">
        <f>IF(OR(F34="",G34=""),"",IF(G34=J34,"MATCH","MISMATCH"))</f>
        <v/>
      </c>
      <c r="O34" s="10" t="n"/>
      <c r="P34" s="10" t="n"/>
    </row>
    <row r="35" ht="30" customHeight="1">
      <c r="A35" s="10" t="n">
        <v>34</v>
      </c>
      <c r="B35" s="10" t="inlineStr">
        <is>
          <t>18089850872108715</t>
        </is>
      </c>
      <c r="C35" s="10" t="inlineStr">
        <is>
          <t>gyanm.samarth.academy</t>
        </is>
      </c>
      <c r="D35" s="10" t="inlineStr">
        <is>
          <t>https://www.instagram.com/p/DbDhnbiCcIF/</t>
        </is>
      </c>
      <c r="E35" s="10" t="inlineStr">
        <is>
          <t>2026-07-21T12:33:48+0000</t>
        </is>
      </c>
      <c r="F35" s="10" t="n"/>
      <c r="G35" s="10" t="n"/>
      <c r="H35" s="10" t="n"/>
      <c r="I35" s="10" t="inlineStr">
        <is>
          <t>FLAGGED</t>
        </is>
      </c>
      <c r="J35" s="10" t="inlineStr">
        <is>
          <t>CRITICAL</t>
        </is>
      </c>
      <c r="K35" s="10" t="inlineStr">
        <is>
          <t>placement, educational_institutions, awards_rankings_claims, health_wellness_claims, automotive_claims, food_beverage_claims</t>
        </is>
      </c>
      <c r="L35" s="10" t="inlineStr">
        <is>
          <t>TEXT_NO_DISCLOSURE</t>
        </is>
      </c>
      <c r="M35" s="10">
        <f>IF(F35="","",IF(F35=I35,"MATCH","MISMATCH"))</f>
        <v/>
      </c>
      <c r="N35" s="10">
        <f>IF(OR(F35="",G35=""),"",IF(G35=J35,"MATCH","MISMATCH"))</f>
        <v/>
      </c>
      <c r="O35" s="10" t="n"/>
      <c r="P35" s="10" t="n"/>
    </row>
    <row r="36" ht="30" customHeight="1">
      <c r="A36" s="10" t="n">
        <v>35</v>
      </c>
      <c r="B36" s="10" t="inlineStr">
        <is>
          <t>17940951876256451</t>
        </is>
      </c>
      <c r="C36" s="10" t="inlineStr">
        <is>
          <t>gyanm.samarth.academy</t>
        </is>
      </c>
      <c r="D36" s="10" t="inlineStr">
        <is>
          <t>https://www.instagram.com/p/DbAMA74kdU8/</t>
        </is>
      </c>
      <c r="E36" s="10" t="inlineStr">
        <is>
          <t>2026-07-20T05:27:19+0000</t>
        </is>
      </c>
      <c r="F36" s="10" t="n"/>
      <c r="G36" s="10" t="n"/>
      <c r="H36" s="10" t="n"/>
      <c r="I36" s="10" t="inlineStr">
        <is>
          <t>FLAGGED</t>
        </is>
      </c>
      <c r="J36" s="10" t="inlineStr">
        <is>
          <t>CRITICAL</t>
        </is>
      </c>
      <c r="K36" s="10" t="inlineStr">
        <is>
          <t>approved_label, placement, educational_institutions, health_wellness_claims, awards_rankings_claims, children_targeted, automotive_claims, food_beverage_claims</t>
        </is>
      </c>
      <c r="L36" s="10" t="inlineStr">
        <is>
          <t>TEXT_NO_DISCLOSURE</t>
        </is>
      </c>
      <c r="M36" s="10">
        <f>IF(F36="","",IF(F36=I36,"MATCH","MISMATCH"))</f>
        <v/>
      </c>
      <c r="N36" s="10">
        <f>IF(OR(F36="",G36=""),"",IF(G36=J36,"MATCH","MISMATCH"))</f>
        <v/>
      </c>
      <c r="O36" s="10" t="n"/>
      <c r="P36" s="10" t="n"/>
    </row>
    <row r="37" ht="30" customHeight="1">
      <c r="A37" s="10" t="n">
        <v>36</v>
      </c>
      <c r="B37" s="10" t="inlineStr">
        <is>
          <t>18304795939303120</t>
        </is>
      </c>
      <c r="C37" s="10" t="inlineStr">
        <is>
          <t>gyanm.samarth.academy</t>
        </is>
      </c>
      <c r="D37" s="10" t="inlineStr">
        <is>
          <t>https://www.instagram.com/reel/Da6_DJuuV6q/</t>
        </is>
      </c>
      <c r="E37" s="10" t="inlineStr">
        <is>
          <t>2026-07-18T04:59:11+0000</t>
        </is>
      </c>
      <c r="F37" s="10" t="n"/>
      <c r="G37" s="10" t="n"/>
      <c r="H37" s="10" t="n"/>
      <c r="I37" s="10" t="inlineStr">
        <is>
          <t>FLAGGED</t>
        </is>
      </c>
      <c r="J37" s="10" t="inlineStr">
        <is>
          <t>HIGH</t>
        </is>
      </c>
      <c r="K37" s="10" t="inlineStr">
        <is>
          <t>approved_label, placement, educational_institutions</t>
        </is>
      </c>
      <c r="L37" s="10" t="inlineStr">
        <is>
          <t>NO_MEDIA</t>
        </is>
      </c>
      <c r="M37" s="10">
        <f>IF(F37="","",IF(F37=I37,"MATCH","MISMATCH"))</f>
        <v/>
      </c>
      <c r="N37" s="10">
        <f>IF(OR(F37="",G37=""),"",IF(G37=J37,"MATCH","MISMATCH"))</f>
        <v/>
      </c>
      <c r="O37" s="10" t="n"/>
      <c r="P37" s="10" t="n"/>
    </row>
    <row r="38" ht="30" customHeight="1">
      <c r="A38" s="10" t="n">
        <v>37</v>
      </c>
      <c r="B38" s="10" t="inlineStr">
        <is>
          <t>18108241069820745</t>
        </is>
      </c>
      <c r="C38" s="10" t="inlineStr">
        <is>
          <t>gyanm.samarth.academy</t>
        </is>
      </c>
      <c r="D38" s="10" t="inlineStr">
        <is>
          <t>https://www.instagram.com/p/Da5AXnFicDt/</t>
        </is>
      </c>
      <c r="E38" s="10" t="inlineStr">
        <is>
          <t>2026-07-17T10:30:53+0000</t>
        </is>
      </c>
      <c r="F38" s="10" t="n"/>
      <c r="G38" s="10" t="n"/>
      <c r="H38" s="10" t="n"/>
      <c r="I38" s="10" t="inlineStr">
        <is>
          <t>FLAGGED</t>
        </is>
      </c>
      <c r="J38" s="10" t="inlineStr">
        <is>
          <t>CRITICAL</t>
        </is>
      </c>
      <c r="K38" s="10" t="inlineStr">
        <is>
          <t>approved_label, placement, educational_institutions, awards_rankings_claims, health_wellness_claims, automotive_claims, food_beverage_claims, children_targeted</t>
        </is>
      </c>
      <c r="L38" s="10" t="inlineStr">
        <is>
          <t>TEXT_NO_DISCLOSURE</t>
        </is>
      </c>
      <c r="M38" s="10">
        <f>IF(F38="","",IF(F38=I38,"MATCH","MISMATCH"))</f>
        <v/>
      </c>
      <c r="N38" s="10">
        <f>IF(OR(F38="",G38=""),"",IF(G38=J38,"MATCH","MISMATCH"))</f>
        <v/>
      </c>
      <c r="O38" s="10" t="n"/>
      <c r="P38" s="10" t="n"/>
    </row>
    <row r="39" ht="30" customHeight="1">
      <c r="A39" s="10" t="n">
        <v>38</v>
      </c>
      <c r="B39" s="10" t="inlineStr">
        <is>
          <t>18067557578448952</t>
        </is>
      </c>
      <c r="C39" s="10" t="inlineStr">
        <is>
          <t>gyanm.samarth.academy</t>
        </is>
      </c>
      <c r="D39" s="10" t="inlineStr">
        <is>
          <t>https://www.instagram.com/reel/DaheRZTJwq-/</t>
        </is>
      </c>
      <c r="E39" s="10" t="inlineStr">
        <is>
          <t>2026-07-08T07:10:58+0000</t>
        </is>
      </c>
      <c r="F39" s="10" t="n"/>
      <c r="G39" s="10" t="n"/>
      <c r="H39" s="10" t="n"/>
      <c r="I39" s="10" t="inlineStr">
        <is>
          <t>FLAGGED</t>
        </is>
      </c>
      <c r="J39" s="10" t="inlineStr">
        <is>
          <t>HIGH</t>
        </is>
      </c>
      <c r="K39" s="10" t="inlineStr">
        <is>
          <t>approved_label, placement, educational_institutions, awards_rankings_claims</t>
        </is>
      </c>
      <c r="L39" s="10" t="inlineStr">
        <is>
          <t>NO_MEDIA</t>
        </is>
      </c>
      <c r="M39" s="10">
        <f>IF(F39="","",IF(F39=I39,"MATCH","MISMATCH"))</f>
        <v/>
      </c>
      <c r="N39" s="10">
        <f>IF(OR(F39="",G39=""),"",IF(G39=J39,"MATCH","MISMATCH"))</f>
        <v/>
      </c>
      <c r="O39" s="10" t="n"/>
      <c r="P39" s="10" t="n"/>
    </row>
    <row r="40" ht="30" customHeight="1">
      <c r="A40" s="10" t="n">
        <v>39</v>
      </c>
      <c r="B40" s="10" t="inlineStr">
        <is>
          <t>17876881866680499</t>
        </is>
      </c>
      <c r="C40" s="10" t="inlineStr">
        <is>
          <t>gyanm.samarth.academy</t>
        </is>
      </c>
      <c r="D40" s="10" t="inlineStr">
        <is>
          <t>https://www.instagram.com/reel/DaSYQaVsSTl/</t>
        </is>
      </c>
      <c r="E40" s="10" t="inlineStr">
        <is>
          <t>2026-07-02T10:30:18+0000</t>
        </is>
      </c>
      <c r="F40" s="10" t="n"/>
      <c r="G40" s="10" t="n"/>
      <c r="H40" s="10" t="n"/>
      <c r="I40" s="10" t="inlineStr">
        <is>
          <t>FLAGGED</t>
        </is>
      </c>
      <c r="J40" s="10" t="inlineStr">
        <is>
          <t>CRITICAL</t>
        </is>
      </c>
      <c r="K40" s="10" t="inlineStr">
        <is>
          <t>approved_label, placement, educational_institutions, health_wellness_claims, awards_rankings_claims</t>
        </is>
      </c>
      <c r="L40" s="10" t="inlineStr">
        <is>
          <t>NO_MEDIA</t>
        </is>
      </c>
      <c r="M40" s="10">
        <f>IF(F40="","",IF(F40=I40,"MATCH","MISMATCH"))</f>
        <v/>
      </c>
      <c r="N40" s="10">
        <f>IF(OR(F40="",G40=""),"",IF(G40=J40,"MATCH","MISMATCH"))</f>
        <v/>
      </c>
      <c r="O40" s="10" t="n"/>
      <c r="P40" s="10" t="n"/>
    </row>
    <row r="41" ht="30" customHeight="1">
      <c r="A41" s="10" t="n">
        <v>40</v>
      </c>
      <c r="B41" s="10" t="inlineStr">
        <is>
          <t>18089566070093119</t>
        </is>
      </c>
      <c r="C41" s="10" t="inlineStr">
        <is>
          <t>gyanm.samarth.academy</t>
        </is>
      </c>
      <c r="D41" s="10" t="inlineStr">
        <is>
          <t>https://www.instagram.com/reel/DaP_vv7yPwo/</t>
        </is>
      </c>
      <c r="E41" s="10" t="inlineStr">
        <is>
          <t>2026-07-01T12:17:12+0000</t>
        </is>
      </c>
      <c r="F41" s="10" t="n"/>
      <c r="G41" s="10" t="n"/>
      <c r="H41" s="10" t="n"/>
      <c r="I41" s="10" t="inlineStr">
        <is>
          <t>FLAGGED</t>
        </is>
      </c>
      <c r="J41" s="10" t="inlineStr">
        <is>
          <t>CRITICAL</t>
        </is>
      </c>
      <c r="K41" s="10" t="inlineStr">
        <is>
          <t>approved_label, placement, educational_institutions, health_wellness_claims, awards_rankings_claims, children_targeted</t>
        </is>
      </c>
      <c r="L41" s="10" t="inlineStr">
        <is>
          <t>NO_MEDIA</t>
        </is>
      </c>
      <c r="M41" s="10">
        <f>IF(F41="","",IF(F41=I41,"MATCH","MISMATCH"))</f>
        <v/>
      </c>
      <c r="N41" s="10">
        <f>IF(OR(F41="",G41=""),"",IF(G41=J41,"MATCH","MISMATCH"))</f>
        <v/>
      </c>
      <c r="O41" s="10" t="n"/>
      <c r="P41" s="10" t="n"/>
    </row>
    <row r="42" ht="30" customHeight="1">
      <c r="A42" s="10" t="n">
        <v>41</v>
      </c>
      <c r="B42" s="10" t="inlineStr">
        <is>
          <t>17948142474080220</t>
        </is>
      </c>
      <c r="C42" s="10" t="inlineStr">
        <is>
          <t>gyanm.samarth.academy</t>
        </is>
      </c>
      <c r="D42" s="10" t="inlineStr">
        <is>
          <t>https://www.instagram.com/reel/DaHosqFh4VM/</t>
        </is>
      </c>
      <c r="E42" s="10" t="inlineStr">
        <is>
          <t>2026-06-28T06:22:04+0000</t>
        </is>
      </c>
      <c r="F42" s="10" t="n"/>
      <c r="G42" s="10" t="n"/>
      <c r="H42" s="10" t="n"/>
      <c r="I42" s="10" t="inlineStr">
        <is>
          <t>FLAGGED</t>
        </is>
      </c>
      <c r="J42" s="10" t="inlineStr">
        <is>
          <t>CRITICAL</t>
        </is>
      </c>
      <c r="K42" s="10" t="inlineStr">
        <is>
          <t>approved_label, placement, educational_institutions, awards_rankings_claims, health_wellness_claims</t>
        </is>
      </c>
      <c r="L42" s="10" t="inlineStr">
        <is>
          <t>NO_MEDIA</t>
        </is>
      </c>
      <c r="M42" s="10">
        <f>IF(F42="","",IF(F42=I42,"MATCH","MISMATCH"))</f>
        <v/>
      </c>
      <c r="N42" s="10">
        <f>IF(OR(F42="",G42=""),"",IF(G42=J42,"MATCH","MISMATCH"))</f>
        <v/>
      </c>
      <c r="O42" s="10" t="n"/>
      <c r="P42" s="10" t="n"/>
    </row>
    <row r="43" ht="30" customHeight="1">
      <c r="A43" s="10" t="n">
        <v>42</v>
      </c>
      <c r="B43" s="10" t="inlineStr">
        <is>
          <t>17960679405131379</t>
        </is>
      </c>
      <c r="C43" s="10" t="inlineStr">
        <is>
          <t>gyanm.samarth.academy</t>
        </is>
      </c>
      <c r="D43" s="10" t="inlineStr">
        <is>
          <t>https://www.instagram.com/reel/DaAlY8YhKnB/</t>
        </is>
      </c>
      <c r="E43" s="10" t="inlineStr">
        <is>
          <t>2026-06-25T12:38:18+0000</t>
        </is>
      </c>
      <c r="F43" s="10" t="n"/>
      <c r="G43" s="10" t="n"/>
      <c r="H43" s="10" t="n"/>
      <c r="I43" s="10" t="inlineStr">
        <is>
          <t>FLAGGED</t>
        </is>
      </c>
      <c r="J43" s="10" t="inlineStr">
        <is>
          <t>HIGH</t>
        </is>
      </c>
      <c r="K43" s="10" t="inlineStr">
        <is>
          <t>approved_label, placement, educational_institutions, awards_rankings_claims</t>
        </is>
      </c>
      <c r="L43" s="10" t="inlineStr">
        <is>
          <t>NO_MEDIA</t>
        </is>
      </c>
      <c r="M43" s="10">
        <f>IF(F43="","",IF(F43=I43,"MATCH","MISMATCH"))</f>
        <v/>
      </c>
      <c r="N43" s="10">
        <f>IF(OR(F43="",G43=""),"",IF(G43=J43,"MATCH","MISMATCH"))</f>
        <v/>
      </c>
      <c r="O43" s="10" t="n"/>
      <c r="P43" s="10" t="n"/>
    </row>
    <row r="44" ht="30" customHeight="1">
      <c r="A44" s="10" t="n">
        <v>43</v>
      </c>
      <c r="B44" s="10" t="inlineStr">
        <is>
          <t>18018981419852740</t>
        </is>
      </c>
      <c r="C44" s="10" t="inlineStr">
        <is>
          <t>gyanm.samarth.academy</t>
        </is>
      </c>
      <c r="D44" s="10" t="inlineStr">
        <is>
          <t>https://www.instagram.com/reel/DZ9mjNnPfKo/</t>
        </is>
      </c>
      <c r="E44" s="10" t="inlineStr">
        <is>
          <t>2026-06-24T08:50:39+0000</t>
        </is>
      </c>
      <c r="F44" s="10" t="n"/>
      <c r="G44" s="10" t="n"/>
      <c r="H44" s="10" t="n"/>
      <c r="I44" s="10" t="inlineStr">
        <is>
          <t>FLAGGED</t>
        </is>
      </c>
      <c r="J44" s="10" t="inlineStr">
        <is>
          <t>CRITICAL</t>
        </is>
      </c>
      <c r="K44" s="10" t="inlineStr">
        <is>
          <t>approved_label, placement, educational_institutions, health_wellness_claims</t>
        </is>
      </c>
      <c r="L44" s="10" t="inlineStr">
        <is>
          <t>NO_MEDIA</t>
        </is>
      </c>
      <c r="M44" s="10">
        <f>IF(F44="","",IF(F44=I44,"MATCH","MISMATCH"))</f>
        <v/>
      </c>
      <c r="N44" s="10">
        <f>IF(OR(F44="",G44=""),"",IF(G44=J44,"MATCH","MISMATCH"))</f>
        <v/>
      </c>
      <c r="O44" s="10" t="n"/>
      <c r="P44" s="10" t="n"/>
    </row>
    <row r="45" ht="30" customHeight="1">
      <c r="A45" s="10" t="n">
        <v>44</v>
      </c>
      <c r="B45" s="10" t="inlineStr">
        <is>
          <t>18096816577957172</t>
        </is>
      </c>
      <c r="C45" s="10" t="inlineStr">
        <is>
          <t>gyanm.samarth.academy</t>
        </is>
      </c>
      <c r="D45" s="10" t="inlineStr">
        <is>
          <t>https://www.instagram.com/p/DZ47cN1iRtW/</t>
        </is>
      </c>
      <c r="E45" s="10" t="inlineStr">
        <is>
          <t>2026-06-22T13:16:25+0000</t>
        </is>
      </c>
      <c r="F45" s="10" t="n"/>
      <c r="G45" s="10" t="n"/>
      <c r="H45" s="10" t="n"/>
      <c r="I45" s="10" t="inlineStr">
        <is>
          <t>FLAGGED</t>
        </is>
      </c>
      <c r="J45" s="10" t="inlineStr">
        <is>
          <t>CRITICAL</t>
        </is>
      </c>
      <c r="K45" s="10" t="inlineStr">
        <is>
          <t>approved_label, placement, educational_institutions, awards_rankings_claims, health_wellness_claims, children_targeted</t>
        </is>
      </c>
      <c r="L45" s="10" t="inlineStr">
        <is>
          <t>TEXT_NO_DISCLOSURE</t>
        </is>
      </c>
      <c r="M45" s="10">
        <f>IF(F45="","",IF(F45=I45,"MATCH","MISMATCH"))</f>
        <v/>
      </c>
      <c r="N45" s="10">
        <f>IF(OR(F45="",G45=""),"",IF(G45=J45,"MATCH","MISMATCH"))</f>
        <v/>
      </c>
      <c r="O45" s="10" t="n"/>
      <c r="P45" s="10" t="n"/>
    </row>
    <row r="46" ht="30" customHeight="1">
      <c r="A46" s="10" t="n">
        <v>45</v>
      </c>
      <c r="B46" s="10" t="inlineStr">
        <is>
          <t>18105978203048437</t>
        </is>
      </c>
      <c r="C46" s="10" t="inlineStr">
        <is>
          <t>gyanm.samarth.academy</t>
        </is>
      </c>
      <c r="D46" s="10" t="inlineStr">
        <is>
          <t>https://www.instagram.com/reel/DZzXFNSyjFB/</t>
        </is>
      </c>
      <c r="E46" s="10" t="inlineStr">
        <is>
          <t>2026-06-20T09:23:20+0000</t>
        </is>
      </c>
      <c r="F46" s="10" t="n"/>
      <c r="G46" s="10" t="n"/>
      <c r="H46" s="10" t="n"/>
      <c r="I46" s="10" t="inlineStr">
        <is>
          <t>FLAGGED</t>
        </is>
      </c>
      <c r="J46" s="10" t="inlineStr">
        <is>
          <t>HIGH</t>
        </is>
      </c>
      <c r="K46" s="10" t="inlineStr">
        <is>
          <t>approved_label, placement, educational_institutions</t>
        </is>
      </c>
      <c r="L46" s="10" t="inlineStr">
        <is>
          <t>NO_MEDIA</t>
        </is>
      </c>
      <c r="M46" s="10">
        <f>IF(F46="","",IF(F46=I46,"MATCH","MISMATCH"))</f>
        <v/>
      </c>
      <c r="N46" s="10">
        <f>IF(OR(F46="",G46=""),"",IF(G46=J46,"MATCH","MISMATCH"))</f>
        <v/>
      </c>
      <c r="O46" s="10" t="n"/>
      <c r="P46" s="10" t="n"/>
    </row>
    <row r="47" ht="30" customHeight="1">
      <c r="A47" s="10" t="n">
        <v>46</v>
      </c>
      <c r="B47" s="10" t="inlineStr">
        <is>
          <t>17955229535983076</t>
        </is>
      </c>
      <c r="C47" s="10" t="inlineStr">
        <is>
          <t>gyanm.samarth.academy</t>
        </is>
      </c>
      <c r="D47" s="10" t="inlineStr">
        <is>
          <t>https://www.instagram.com/p/DZweJ72EdFh/</t>
        </is>
      </c>
      <c r="E47" s="10" t="inlineStr">
        <is>
          <t>2026-06-19T06:26:36+0000</t>
        </is>
      </c>
      <c r="F47" s="10" t="n"/>
      <c r="G47" s="10" t="n"/>
      <c r="H47" s="10" t="n"/>
      <c r="I47" s="10" t="inlineStr">
        <is>
          <t>FLAGGED</t>
        </is>
      </c>
      <c r="J47" s="10" t="inlineStr">
        <is>
          <t>CRITICAL</t>
        </is>
      </c>
      <c r="K47" s="10" t="inlineStr">
        <is>
          <t>approved_label, placement, educational_institutions, awards_rankings_claims, health_wellness_claims, automotive_claims, food_beverage_claims, children_targeted</t>
        </is>
      </c>
      <c r="L47" s="10" t="inlineStr">
        <is>
          <t>TEXT_NO_DISCLOSURE</t>
        </is>
      </c>
      <c r="M47" s="10">
        <f>IF(F47="","",IF(F47=I47,"MATCH","MISMATCH"))</f>
        <v/>
      </c>
      <c r="N47" s="10">
        <f>IF(OR(F47="",G47=""),"",IF(G47=J47,"MATCH","MISMATCH"))</f>
        <v/>
      </c>
      <c r="O47" s="10" t="n"/>
      <c r="P47" s="10" t="n"/>
    </row>
    <row r="48" ht="30" customHeight="1">
      <c r="A48" s="10" t="n">
        <v>47</v>
      </c>
      <c r="B48" s="10" t="inlineStr">
        <is>
          <t>18102875440855906</t>
        </is>
      </c>
      <c r="C48" s="10" t="inlineStr">
        <is>
          <t>gyanm.samarth.academy</t>
        </is>
      </c>
      <c r="D48" s="10" t="inlineStr">
        <is>
          <t>https://www.instagram.com/reel/DZukjkDM-pD/</t>
        </is>
      </c>
      <c r="E48" s="10" t="inlineStr">
        <is>
          <t>2026-06-18T12:44:36+0000</t>
        </is>
      </c>
      <c r="F48" s="10" t="n"/>
      <c r="G48" s="10" t="n"/>
      <c r="H48" s="10" t="n"/>
      <c r="I48" s="10" t="inlineStr">
        <is>
          <t>FLAGGED</t>
        </is>
      </c>
      <c r="J48" s="10" t="inlineStr">
        <is>
          <t>HIGH</t>
        </is>
      </c>
      <c r="K48" s="10" t="inlineStr">
        <is>
          <t>approved_label, placement, educational_institutions</t>
        </is>
      </c>
      <c r="L48" s="10" t="inlineStr">
        <is>
          <t>NO_MEDIA</t>
        </is>
      </c>
      <c r="M48" s="10">
        <f>IF(F48="","",IF(F48=I48,"MATCH","MISMATCH"))</f>
        <v/>
      </c>
      <c r="N48" s="10">
        <f>IF(OR(F48="",G48=""),"",IF(G48=J48,"MATCH","MISMATCH"))</f>
        <v/>
      </c>
      <c r="O48" s="10" t="n"/>
      <c r="P48" s="10" t="n"/>
    </row>
    <row r="49" ht="30" customHeight="1">
      <c r="A49" s="10" t="n">
        <v>48</v>
      </c>
      <c r="B49" s="10" t="inlineStr">
        <is>
          <t>17926837404125979</t>
        </is>
      </c>
      <c r="C49" s="10" t="inlineStr">
        <is>
          <t>gyanm.samarth.academy</t>
        </is>
      </c>
      <c r="D49" s="10" t="inlineStr">
        <is>
          <t>https://www.instagram.com/p/DZt9qKKEWNf/</t>
        </is>
      </c>
      <c r="E49" s="10" t="inlineStr">
        <is>
          <t>2026-06-18T07:04:09+0000</t>
        </is>
      </c>
      <c r="F49" s="10" t="n"/>
      <c r="G49" s="10" t="n"/>
      <c r="H49" s="10" t="n"/>
      <c r="I49" s="10" t="inlineStr">
        <is>
          <t>FLAGGED</t>
        </is>
      </c>
      <c r="J49" s="10" t="inlineStr">
        <is>
          <t>CRITICAL</t>
        </is>
      </c>
      <c r="K49" s="10" t="inlineStr">
        <is>
          <t>approved_label, placement, educational_institutions, awards_rankings_claims, health_wellness_claims, children_targeted</t>
        </is>
      </c>
      <c r="L49" s="10" t="inlineStr">
        <is>
          <t>TEXT_NO_DISCLOSURE</t>
        </is>
      </c>
      <c r="M49" s="10">
        <f>IF(F49="","",IF(F49=I49,"MATCH","MISMATCH"))</f>
        <v/>
      </c>
      <c r="N49" s="10">
        <f>IF(OR(F49="",G49=""),"",IF(G49=J49,"MATCH","MISMATCH"))</f>
        <v/>
      </c>
      <c r="O49" s="10" t="n"/>
      <c r="P49" s="10" t="n"/>
    </row>
    <row r="50" ht="30" customHeight="1">
      <c r="A50" s="10" t="n">
        <v>49</v>
      </c>
      <c r="B50" s="10" t="inlineStr">
        <is>
          <t>18236071915308151</t>
        </is>
      </c>
      <c r="C50" s="10" t="inlineStr">
        <is>
          <t>gyanm.samarth.academy</t>
        </is>
      </c>
      <c r="D50" s="10" t="inlineStr">
        <is>
          <t>https://www.instagram.com/reel/DZr54nEho_s/</t>
        </is>
      </c>
      <c r="E50" s="10" t="inlineStr">
        <is>
          <t>2026-06-17T11:53:14+0000</t>
        </is>
      </c>
      <c r="F50" s="10" t="n"/>
      <c r="G50" s="10" t="n"/>
      <c r="H50" s="10" t="n"/>
      <c r="I50" s="10" t="inlineStr">
        <is>
          <t>FLAGGED</t>
        </is>
      </c>
      <c r="J50" s="10" t="inlineStr">
        <is>
          <t>CRITICAL</t>
        </is>
      </c>
      <c r="K50" s="10" t="inlineStr">
        <is>
          <t>approved_label, placement, educational_institutions, awards_rankings_claims, health_wellness_claims</t>
        </is>
      </c>
      <c r="L50" s="10" t="inlineStr">
        <is>
          <t>NO_MEDIA</t>
        </is>
      </c>
      <c r="M50" s="10">
        <f>IF(F50="","",IF(F50=I50,"MATCH","MISMATCH"))</f>
        <v/>
      </c>
      <c r="N50" s="10">
        <f>IF(OR(F50="",G50=""),"",IF(G50=J50,"MATCH","MISMATCH"))</f>
        <v/>
      </c>
      <c r="O50" s="10" t="n"/>
      <c r="P50" s="10" t="n"/>
    </row>
    <row r="51" ht="30" customHeight="1">
      <c r="A51" s="10" t="n">
        <v>50</v>
      </c>
      <c r="B51" s="10" t="inlineStr">
        <is>
          <t>18115081436494101</t>
        </is>
      </c>
      <c r="C51" s="10" t="inlineStr">
        <is>
          <t>gyanm.samarth.academy</t>
        </is>
      </c>
      <c r="D51" s="10" t="inlineStr">
        <is>
          <t>https://www.instagram.com/reel/DZkJXGsMb6P/</t>
        </is>
      </c>
      <c r="E51" s="10" t="inlineStr">
        <is>
          <t>2026-06-14T11:34:20+0000</t>
        </is>
      </c>
      <c r="F51" s="10" t="n"/>
      <c r="G51" s="10" t="n"/>
      <c r="H51" s="10" t="n"/>
      <c r="I51" s="10" t="inlineStr">
        <is>
          <t>FLAGGED</t>
        </is>
      </c>
      <c r="J51" s="10" t="inlineStr">
        <is>
          <t>CRITICAL</t>
        </is>
      </c>
      <c r="K51" s="10" t="inlineStr">
        <is>
          <t>approved_label, placement, educational_institutions, awards_rankings_claims, children_targeted, health_wellness_claims</t>
        </is>
      </c>
      <c r="L51" s="10" t="inlineStr">
        <is>
          <t>NO_MEDIA</t>
        </is>
      </c>
      <c r="M51" s="10">
        <f>IF(F51="","",IF(F51=I51,"MATCH","MISMATCH"))</f>
        <v/>
      </c>
      <c r="N51" s="10">
        <f>IF(OR(F51="",G51=""),"",IF(G51=J51,"MATCH","MISMATCH"))</f>
        <v/>
      </c>
      <c r="O51" s="10" t="n"/>
      <c r="P51" s="10" t="n"/>
    </row>
    <row r="52" ht="30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>
        <f>IF(F52="","",IF(F52=I52,"MATCH","MISMATCH"))</f>
        <v/>
      </c>
      <c r="N52" s="10">
        <f>IF(OR(F52="",G52=""),"",IF(G52=J52,"MATCH","MISMATCH"))</f>
        <v/>
      </c>
      <c r="O52" s="10" t="n"/>
      <c r="P52" s="10" t="n"/>
    </row>
    <row r="53" ht="3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>
        <f>IF(F53="","",IF(F53=I53,"MATCH","MISMATCH"))</f>
        <v/>
      </c>
      <c r="N53" s="10">
        <f>IF(OR(F53="",G53=""),"",IF(G53=J53,"MATCH","MISMATCH"))</f>
        <v/>
      </c>
      <c r="O53" s="10" t="n"/>
      <c r="P53" s="10" t="n"/>
    </row>
    <row r="54" ht="30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>
        <f>IF(F54="","",IF(F54=I54,"MATCH","MISMATCH"))</f>
        <v/>
      </c>
      <c r="N54" s="10">
        <f>IF(OR(F54="",G54=""),"",IF(G54=J54,"MATCH","MISMATCH"))</f>
        <v/>
      </c>
      <c r="O54" s="10" t="n"/>
      <c r="P54" s="10" t="n"/>
    </row>
    <row r="55" ht="3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>
        <f>IF(F55="","",IF(F55=I55,"MATCH","MISMATCH"))</f>
        <v/>
      </c>
      <c r="N55" s="10">
        <f>IF(OR(F55="",G55=""),"",IF(G55=J55,"MATCH","MISMATCH"))</f>
        <v/>
      </c>
      <c r="O55" s="10" t="n"/>
      <c r="P55" s="10" t="n"/>
    </row>
    <row r="56" ht="30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>
        <f>IF(F56="","",IF(F56=I56,"MATCH","MISMATCH"))</f>
        <v/>
      </c>
      <c r="N56" s="10">
        <f>IF(OR(F56="",G56=""),"",IF(G56=J56,"MATCH","MISMATCH"))</f>
        <v/>
      </c>
      <c r="O56" s="10" t="n"/>
      <c r="P56" s="10" t="n"/>
    </row>
    <row r="57" ht="3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>
        <f>IF(F57="","",IF(F57=I57,"MATCH","MISMATCH"))</f>
        <v/>
      </c>
      <c r="N57" s="10">
        <f>IF(OR(F57="",G57=""),"",IF(G57=J57,"MATCH","MISMATCH"))</f>
        <v/>
      </c>
      <c r="O57" s="10" t="n"/>
      <c r="P57" s="10" t="n"/>
    </row>
    <row r="58" ht="30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>
        <f>IF(F58="","",IF(F58=I58,"MATCH","MISMATCH"))</f>
        <v/>
      </c>
      <c r="N58" s="10">
        <f>IF(OR(F58="",G58=""),"",IF(G58=J58,"MATCH","MISMATCH"))</f>
        <v/>
      </c>
      <c r="O58" s="10" t="n"/>
      <c r="P58" s="10" t="n"/>
    </row>
    <row r="59" ht="3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>
        <f>IF(F59="","",IF(F59=I59,"MATCH","MISMATCH"))</f>
        <v/>
      </c>
      <c r="N59" s="10">
        <f>IF(OR(F59="",G59=""),"",IF(G59=J59,"MATCH","MISMATCH"))</f>
        <v/>
      </c>
      <c r="O59" s="10" t="n"/>
      <c r="P59" s="10" t="n"/>
    </row>
    <row r="60" ht="30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>
        <f>IF(F60="","",IF(F60=I60,"MATCH","MISMATCH"))</f>
        <v/>
      </c>
      <c r="N60" s="10">
        <f>IF(OR(F60="",G60=""),"",IF(G60=J60,"MATCH","MISMATCH"))</f>
        <v/>
      </c>
      <c r="O60" s="10" t="n"/>
      <c r="P60" s="10" t="n"/>
    </row>
    <row r="61" ht="3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>
        <f>IF(F61="","",IF(F61=I61,"MATCH","MISMATCH"))</f>
        <v/>
      </c>
      <c r="N61" s="10">
        <f>IF(OR(F61="",G61=""),"",IF(G61=J61,"MATCH","MISMATCH"))</f>
        <v/>
      </c>
      <c r="O61" s="10" t="n"/>
      <c r="P61" s="10" t="n"/>
    </row>
    <row r="62" ht="30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>
        <f>IF(F62="","",IF(F62=I62,"MATCH","MISMATCH"))</f>
        <v/>
      </c>
      <c r="N62" s="10">
        <f>IF(OR(F62="",G62=""),"",IF(G62=J62,"MATCH","MISMATCH"))</f>
        <v/>
      </c>
      <c r="O62" s="10" t="n"/>
      <c r="P62" s="10" t="n"/>
    </row>
    <row r="63" ht="3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>
        <f>IF(F63="","",IF(F63=I63,"MATCH","MISMATCH"))</f>
        <v/>
      </c>
      <c r="N63" s="10">
        <f>IF(OR(F63="",G63=""),"",IF(G63=J63,"MATCH","MISMATCH"))</f>
        <v/>
      </c>
      <c r="O63" s="10" t="n"/>
      <c r="P63" s="10" t="n"/>
    </row>
    <row r="64" ht="30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>
        <f>IF(F64="","",IF(F64=I64,"MATCH","MISMATCH"))</f>
        <v/>
      </c>
      <c r="N64" s="10">
        <f>IF(OR(F64="",G64=""),"",IF(G64=J64,"MATCH","MISMATCH"))</f>
        <v/>
      </c>
      <c r="O64" s="10" t="n"/>
      <c r="P64" s="10" t="n"/>
    </row>
    <row r="65" ht="3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>
        <f>IF(F65="","",IF(F65=I65,"MATCH","MISMATCH"))</f>
        <v/>
      </c>
      <c r="N65" s="10">
        <f>IF(OR(F65="",G65=""),"",IF(G65=J65,"MATCH","MISMATCH"))</f>
        <v/>
      </c>
      <c r="O65" s="10" t="n"/>
      <c r="P65" s="10" t="n"/>
    </row>
    <row r="66" ht="30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>
        <f>IF(F66="","",IF(F66=I66,"MATCH","MISMATCH"))</f>
        <v/>
      </c>
      <c r="N66" s="10">
        <f>IF(OR(F66="",G66=""),"",IF(G66=J66,"MATCH","MISMATCH"))</f>
        <v/>
      </c>
      <c r="O66" s="10" t="n"/>
      <c r="P66" s="10" t="n"/>
    </row>
    <row r="67" ht="3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>
        <f>IF(F67="","",IF(F67=I67,"MATCH","MISMATCH"))</f>
        <v/>
      </c>
      <c r="N67" s="10">
        <f>IF(OR(F67="",G67=""),"",IF(G67=J67,"MATCH","MISMATCH"))</f>
        <v/>
      </c>
      <c r="O67" s="10" t="n"/>
      <c r="P67" s="10" t="n"/>
    </row>
    <row r="68" ht="30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>
        <f>IF(F68="","",IF(F68=I68,"MATCH","MISMATCH"))</f>
        <v/>
      </c>
      <c r="N68" s="10">
        <f>IF(OR(F68="",G68=""),"",IF(G68=J68,"MATCH","MISMATCH"))</f>
        <v/>
      </c>
      <c r="O68" s="10" t="n"/>
      <c r="P68" s="10" t="n"/>
    </row>
    <row r="69" ht="3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>
        <f>IF(F69="","",IF(F69=I69,"MATCH","MISMATCH"))</f>
        <v/>
      </c>
      <c r="N69" s="10">
        <f>IF(OR(F69="",G69=""),"",IF(G69=J69,"MATCH","MISMATCH"))</f>
        <v/>
      </c>
      <c r="O69" s="10" t="n"/>
      <c r="P69" s="10" t="n"/>
    </row>
    <row r="70" ht="30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>
        <f>IF(F70="","",IF(F70=I70,"MATCH","MISMATCH"))</f>
        <v/>
      </c>
      <c r="N70" s="10">
        <f>IF(OR(F70="",G70=""),"",IF(G70=J70,"MATCH","MISMATCH"))</f>
        <v/>
      </c>
      <c r="O70" s="10" t="n"/>
      <c r="P70" s="10" t="n"/>
    </row>
    <row r="71" ht="3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>
        <f>IF(F71="","",IF(F71=I71,"MATCH","MISMATCH"))</f>
        <v/>
      </c>
      <c r="N71" s="10">
        <f>IF(OR(F71="",G71=""),"",IF(G71=J71,"MATCH","MISMATCH"))</f>
        <v/>
      </c>
      <c r="O71" s="10" t="n"/>
      <c r="P71" s="10" t="n"/>
    </row>
    <row r="72" ht="30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>
        <f>IF(F72="","",IF(F72=I72,"MATCH","MISMATCH"))</f>
        <v/>
      </c>
      <c r="N72" s="10">
        <f>IF(OR(F72="",G72=""),"",IF(G72=J72,"MATCH","MISMATCH"))</f>
        <v/>
      </c>
      <c r="O72" s="10" t="n"/>
      <c r="P72" s="10" t="n"/>
    </row>
  </sheetData>
  <conditionalFormatting sqref="M2:M72">
    <cfRule type="cellIs" priority="1" operator="equal" dxfId="0">
      <formula>"MATCH"</formula>
    </cfRule>
    <cfRule type="cellIs" priority="2" operator="equal" dxfId="1">
      <formula>"MISMATCH"</formula>
    </cfRule>
  </conditionalFormatting>
  <conditionalFormatting sqref="N2:N72">
    <cfRule type="cellIs" priority="3" operator="equal" dxfId="0">
      <formula>"MATCH"</formula>
    </cfRule>
    <cfRule type="cellIs" priority="4" operator="equal" dxfId="1">
      <formula>"MISMATCH"</formula>
    </cfRule>
  </conditionalFormatting>
  <dataValidations count="3">
    <dataValidation sqref="F2:F72" showDropDown="0" showInputMessage="0" showErrorMessage="0" allowBlank="1" type="list">
      <formula1>"COMPLIANT,FLAGGED,NEEDS EXPERT REVIEW,PENDING REVIEW"</formula1>
    </dataValidation>
    <dataValidation sqref="G2:G72" showDropDown="0" showInputMessage="0" showErrorMessage="0" allowBlank="1" type="list">
      <formula1>"CRITICAL,HIGH,MEDIUM,LOW,ADVISORY,NONE"</formula1>
    </dataValidation>
    <dataValidation sqref="O2:O72" showDropDown="0" showInputMessage="0" showErrorMessage="0" allowBlank="1" type="list">
      <formula1>"N/A - Match,False Positive - engine over-flagged,False Negative - engine missed it,Right verdict, wrong category or reason,Risk level off,Other"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Validation Summary</t>
        </is>
      </c>
    </row>
    <row r="3">
      <c r="A3" s="11" t="inlineStr">
        <is>
          <t>Fills in automatically as you complete rows in the Validation Log tab.</t>
        </is>
      </c>
    </row>
    <row r="5">
      <c r="A5" s="6" t="inlineStr">
        <is>
          <t>Metric</t>
        </is>
      </c>
      <c r="B5" s="6" t="inlineStr">
        <is>
          <t>Count</t>
        </is>
      </c>
      <c r="C5" s="6" t="inlineStr">
        <is>
          <t>% of Reviewed</t>
        </is>
      </c>
    </row>
    <row r="6">
      <c r="A6" s="12" t="inlineStr">
        <is>
          <t>Posts Reviewed (by you)</t>
        </is>
      </c>
      <c r="B6" s="13">
        <f>COUNTIF('Validation Log'!F:F,"COMPLIANT")+COUNTIF('Validation Log'!F:F,"FLAGGED")+COUNTIF('Validation Log'!F:F,"NEEDS EXPERT REVIEW")+COUNTIF('Validation Log'!F:F,"PENDING REVIEW")</f>
        <v/>
      </c>
      <c r="C6" s="14" t="n"/>
    </row>
    <row r="7">
      <c r="A7" s="13" t="inlineStr">
        <is>
          <t>Matches</t>
        </is>
      </c>
      <c r="B7" s="13">
        <f>COUNTIF('Validation Log'!M:M,"MATCH")</f>
        <v/>
      </c>
      <c r="C7" s="15">
        <f>IFERROR(B7/$B$6,"")</f>
        <v/>
      </c>
    </row>
    <row r="8">
      <c r="A8" s="13" t="inlineStr">
        <is>
          <t>Mismatches</t>
        </is>
      </c>
      <c r="B8" s="13">
        <f>COUNTIF('Validation Log'!M:M,"MISMATCH")</f>
        <v/>
      </c>
      <c r="C8" s="15">
        <f>IFERROR(B8/$B$6,"")</f>
        <v/>
      </c>
    </row>
    <row r="10">
      <c r="A10" s="16" t="inlineStr">
        <is>
          <t>Disagreements by Type</t>
        </is>
      </c>
    </row>
    <row r="12">
      <c r="A12" s="8" t="inlineStr">
        <is>
          <t>Type</t>
        </is>
      </c>
      <c r="B12" s="8" t="inlineStr">
        <is>
          <t># Occurrences</t>
        </is>
      </c>
    </row>
    <row r="13">
      <c r="A13" s="13" t="inlineStr">
        <is>
          <t>False Positive - engine over-flagged</t>
        </is>
      </c>
      <c r="B13" s="13">
        <f>COUNTIF('Validation Log'!O:O,"False Positive - engine over-flagged")</f>
        <v/>
      </c>
    </row>
    <row r="14">
      <c r="A14" s="13" t="inlineStr">
        <is>
          <t>False Negative - engine missed it</t>
        </is>
      </c>
      <c r="B14" s="13">
        <f>COUNTIF('Validation Log'!O:O,"False Negative - engine missed it")</f>
        <v/>
      </c>
    </row>
    <row r="15">
      <c r="A15" s="13" t="inlineStr">
        <is>
          <t>Right verdict, wrong category or reason</t>
        </is>
      </c>
      <c r="B15" s="13">
        <f>COUNTIF('Validation Log'!O:O,"Right verdict, wrong category or reason")</f>
        <v/>
      </c>
    </row>
    <row r="16">
      <c r="A16" s="13" t="inlineStr">
        <is>
          <t>Risk level off</t>
        </is>
      </c>
      <c r="B16" s="13">
        <f>COUNTIF('Validation Log'!O:O,"Risk level off")</f>
        <v/>
      </c>
    </row>
    <row r="17">
      <c r="A17" s="13" t="inlineStr">
        <is>
          <t>Other</t>
        </is>
      </c>
      <c r="B17" s="13">
        <f>COUNTIF('Validation Log'!O:O,"Other")</f>
        <v/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2026-08-20T13:23:21Z</dcterms:created>
  <dcterms:modified xsi:type="dcterms:W3CDTF">2026-08-20T13:23:21Z</dcterms:modified>
</cp:coreProperties>
</file>